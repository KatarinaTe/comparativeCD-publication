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st103/Documents/GitHub/comparativeCD/data/04_gwas/"/>
    </mc:Choice>
  </mc:AlternateContent>
  <xr:revisionPtr revIDLastSave="0" documentId="8_{9212136C-527F-B348-A706-79480A7A13F5}" xr6:coauthVersionLast="47" xr6:coauthVersionMax="47" xr10:uidLastSave="{00000000-0000-0000-0000-000000000000}"/>
  <bookViews>
    <workbookView xWindow="35660" yWindow="1960" windowWidth="37400" windowHeight="16700" xr2:uid="{149115D1-3364-2B49-A516-32F673BE7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4" i="1"/>
  <c r="O104" i="1"/>
  <c r="O67" i="1"/>
</calcChain>
</file>

<file path=xl/sharedStrings.xml><?xml version="1.0" encoding="utf-8"?>
<sst xmlns="http://schemas.openxmlformats.org/spreadsheetml/2006/main" count="1029" uniqueCount="676">
  <si>
    <t>SNP</t>
  </si>
  <si>
    <t>A1</t>
  </si>
  <si>
    <t>A2</t>
  </si>
  <si>
    <t>MAF</t>
  </si>
  <si>
    <t>N</t>
  </si>
  <si>
    <t>CHR</t>
  </si>
  <si>
    <t>BP</t>
  </si>
  <si>
    <t>Z</t>
  </si>
  <si>
    <t>P</t>
  </si>
  <si>
    <t>PIP</t>
  </si>
  <si>
    <t>BETA_MEAN</t>
  </si>
  <si>
    <t>BETA_SD</t>
  </si>
  <si>
    <t>DISTANCE_FROM_CENTER</t>
  </si>
  <si>
    <t>CREDIBLE_SET</t>
  </si>
  <si>
    <t>chr15:41915479</t>
  </si>
  <si>
    <t>C</t>
  </si>
  <si>
    <t>A</t>
  </si>
  <si>
    <t>1.69742e-01</t>
  </si>
  <si>
    <t>7.33539e+00</t>
  </si>
  <si>
    <t>2.21080e-13</t>
  </si>
  <si>
    <t>5.12853e-01</t>
  </si>
  <si>
    <t>7.36642e-02</t>
  </si>
  <si>
    <t>7.32627e-02</t>
  </si>
  <si>
    <t>chr15:41918196</t>
  </si>
  <si>
    <t>T</t>
  </si>
  <si>
    <t>1.68670e-01</t>
  </si>
  <si>
    <t>7.23747e+00</t>
  </si>
  <si>
    <t>4.57134e-13</t>
  </si>
  <si>
    <t>2.64406e-01</t>
  </si>
  <si>
    <t>3.74569e-02</t>
  </si>
  <si>
    <t>6.33669e-02</t>
  </si>
  <si>
    <t>chr15:41921601</t>
  </si>
  <si>
    <t>G</t>
  </si>
  <si>
    <t>2.97425e-01</t>
  </si>
  <si>
    <t>7.20432e+00</t>
  </si>
  <si>
    <t>5.83355e-13</t>
  </si>
  <si>
    <t>1.57043e-01</t>
  </si>
  <si>
    <t>2.19537e-02</t>
  </si>
  <si>
    <t>5.15741e-02</t>
  </si>
  <si>
    <t>chr15:41921203</t>
  </si>
  <si>
    <t>1.51502e-01</t>
  </si>
  <si>
    <t>6.89881e+00</t>
  </si>
  <si>
    <t>5.24397e-12</t>
  </si>
  <si>
    <t>2.78874e-02</t>
  </si>
  <si>
    <t>3.73289e-03</t>
  </si>
  <si>
    <t>2.23917e-02</t>
  </si>
  <si>
    <t>SIZE_nonfunct_15.40_43Mb.gz</t>
  </si>
  <si>
    <t>chr3:91685322</t>
  </si>
  <si>
    <t>3.00215e-01</t>
  </si>
  <si>
    <t>7.19002e+00</t>
  </si>
  <si>
    <t>6.47839e-13</t>
  </si>
  <si>
    <t>9.98722e-01</t>
  </si>
  <si>
    <t>1.52876e-01</t>
  </si>
  <si>
    <t>2.08001e-02</t>
  </si>
  <si>
    <t>chr3:91677085</t>
  </si>
  <si>
    <t>1.99571e-02</t>
  </si>
  <si>
    <t>5.20556e+00</t>
  </si>
  <si>
    <t>1.93409e-07</t>
  </si>
  <si>
    <t>2.67716e-01</t>
  </si>
  <si>
    <t>2.96776e-02</t>
  </si>
  <si>
    <t>5.01585e-02</t>
  </si>
  <si>
    <t>chr3:91677086</t>
  </si>
  <si>
    <t>chr3:91680752</t>
  </si>
  <si>
    <t>1.97425e-02</t>
  </si>
  <si>
    <t>5.11383e+00</t>
  </si>
  <si>
    <t>3.15687e-07</t>
  </si>
  <si>
    <t>1.66913e-01</t>
  </si>
  <si>
    <t>1.82164e-02</t>
  </si>
  <si>
    <t>4.15090e-02</t>
  </si>
  <si>
    <t>chr3:91676865</t>
  </si>
  <si>
    <t>2.36052e-02</t>
  </si>
  <si>
    <t>4.98845e+00</t>
  </si>
  <si>
    <t>6.08662e-07</t>
  </si>
  <si>
    <t>1.61462e-01</t>
  </si>
  <si>
    <t>1.76017e-02</t>
  </si>
  <si>
    <t>4.09097e-02</t>
  </si>
  <si>
    <t>chr3:91679526</t>
  </si>
  <si>
    <t>1.93133e-02</t>
  </si>
  <si>
    <t>5.02427e+00</t>
  </si>
  <si>
    <t>5.05354e-07</t>
  </si>
  <si>
    <t>1.05855e-01</t>
  </si>
  <si>
    <t>1.13740e-02</t>
  </si>
  <si>
    <t>3.36940e-02</t>
  </si>
  <si>
    <r>
      <t>SIZE_nonfunct_3.90.5</t>
    </r>
    <r>
      <rPr>
        <sz val="12"/>
        <color rgb="FF000000"/>
        <rFont val="Menlo"/>
        <family val="2"/>
      </rPr>
      <t>-</t>
    </r>
    <r>
      <rPr>
        <sz val="12"/>
        <color rgb="FF098658"/>
        <rFont val="Menlo"/>
        <family val="2"/>
      </rPr>
      <t>92.</t>
    </r>
    <r>
      <rPr>
        <sz val="12"/>
        <color rgb="FFCD3131"/>
        <rFont val="Menlo"/>
        <family val="2"/>
      </rPr>
      <t>5Mb</t>
    </r>
    <r>
      <rPr>
        <sz val="12"/>
        <color rgb="FF3B3B3B"/>
        <rFont val="Menlo"/>
        <family val="2"/>
      </rPr>
      <t>.gz</t>
    </r>
  </si>
  <si>
    <t>SIZE_nonfunct_5_58.8_59.8Mb.gz</t>
  </si>
  <si>
    <t>no cs</t>
  </si>
  <si>
    <t>chr9:14778436</t>
  </si>
  <si>
    <t>2.42489e-02</t>
  </si>
  <si>
    <t>-5.42371e+00</t>
  </si>
  <si>
    <t>5.83751e-08</t>
  </si>
  <si>
    <t>7.11984e-01</t>
  </si>
  <si>
    <t>-7.66518e-02</t>
  </si>
  <si>
    <t>5.16525e-02</t>
  </si>
  <si>
    <t>chr9:15151807</t>
  </si>
  <si>
    <t>2.55365e-02</t>
  </si>
  <si>
    <t>-5.06467e+00</t>
  </si>
  <si>
    <t>4.09102e-07</t>
  </si>
  <si>
    <t>1.18370e-01</t>
  </si>
  <si>
    <t>-1.19095e-02</t>
  </si>
  <si>
    <t>3.32390e-02</t>
  </si>
  <si>
    <t>chr9:15198385</t>
  </si>
  <si>
    <t>2.51073e-02</t>
  </si>
  <si>
    <t>-4.84590e+00</t>
  </si>
  <si>
    <t>1.26042e-06</t>
  </si>
  <si>
    <t>4.20188e-02</t>
  </si>
  <si>
    <t>-4.04689e-03</t>
  </si>
  <si>
    <t>1.97628e-02</t>
  </si>
  <si>
    <t>chr9:15098227</t>
  </si>
  <si>
    <t>4.67811e-02</t>
  </si>
  <si>
    <t>-4.77968e+00</t>
  </si>
  <si>
    <t>1.75576e-06</t>
  </si>
  <si>
    <t>3.09786e-02</t>
  </si>
  <si>
    <t>-2.94322e-03</t>
  </si>
  <si>
    <t>1.68415e-02</t>
  </si>
  <si>
    <t>chr9:15116410</t>
  </si>
  <si>
    <t>4.82833e-02</t>
  </si>
  <si>
    <t>-4.75302e+00</t>
  </si>
  <si>
    <t>2.00396e-06</t>
  </si>
  <si>
    <t>2.74327e-02</t>
  </si>
  <si>
    <t>-2.59194e-03</t>
  </si>
  <si>
    <t>1.57923e-02</t>
  </si>
  <si>
    <t>chr9:15114793</t>
  </si>
  <si>
    <t>4.76395e-02</t>
  </si>
  <si>
    <t>-4.67022e+00</t>
  </si>
  <si>
    <t>3.00871e-06</t>
  </si>
  <si>
    <t>1.88834e-02</t>
  </si>
  <si>
    <t>-1.75338e-03</t>
  </si>
  <si>
    <t>1.29404e-02</t>
  </si>
  <si>
    <t>chr9:14650103</t>
  </si>
  <si>
    <t>1.90987e-02</t>
  </si>
  <si>
    <t>-4.62092e+00</t>
  </si>
  <si>
    <t>3.82046e-06</t>
  </si>
  <si>
    <t>1.51636e-02</t>
  </si>
  <si>
    <t>-1.39326e-03</t>
  </si>
  <si>
    <t>1.15011e-02</t>
  </si>
  <si>
    <t>SIZE_nonfunct_9.14.2_15.2Mb.gz</t>
  </si>
  <si>
    <t>chr10:5313148</t>
  </si>
  <si>
    <t>8.00429e-02</t>
  </si>
  <si>
    <t>-5.83986e+00</t>
  </si>
  <si>
    <t>5.22463e-09</t>
  </si>
  <si>
    <t>8.80625e-02</t>
  </si>
  <si>
    <t>-1.02446e-02</t>
  </si>
  <si>
    <t>3.35105e-02</t>
  </si>
  <si>
    <t>chr10:5319043</t>
  </si>
  <si>
    <t>7.98283e-02</t>
  </si>
  <si>
    <t>-5.76559e+00</t>
  </si>
  <si>
    <t>8.13745e-09</t>
  </si>
  <si>
    <t>5.83800e-02</t>
  </si>
  <si>
    <t>-6.70637e-03</t>
  </si>
  <si>
    <t>2.73745e-02</t>
  </si>
  <si>
    <t>chr10:5319106</t>
  </si>
  <si>
    <t>-5.73934e+00</t>
  </si>
  <si>
    <t>9.50463e-09</t>
  </si>
  <si>
    <t>5.05462e-02</t>
  </si>
  <si>
    <t>-5.78041e-03</t>
  </si>
  <si>
    <t>2.54629e-02</t>
  </si>
  <si>
    <t>chr10:5306411</t>
  </si>
  <si>
    <t>7.51073e-02</t>
  </si>
  <si>
    <t>-5.72717e+00</t>
  </si>
  <si>
    <t>1.02119e-08</t>
  </si>
  <si>
    <t>4.72900e-02</t>
  </si>
  <si>
    <t>-5.39672e-03</t>
  </si>
  <si>
    <t>2.46200e-02</t>
  </si>
  <si>
    <t>chr10:5307161</t>
  </si>
  <si>
    <t>chr10:5315680</t>
  </si>
  <si>
    <t>7.57511e-02</t>
  </si>
  <si>
    <t>-5.70839e+00</t>
  </si>
  <si>
    <t>1.14048e-08</t>
  </si>
  <si>
    <t>4.26826e-02</t>
  </si>
  <si>
    <t>-4.85518e-03</t>
  </si>
  <si>
    <t>2.33712e-02</t>
  </si>
  <si>
    <t>chr10:5317105</t>
  </si>
  <si>
    <t>7.38197e-02</t>
  </si>
  <si>
    <t>-5.66791e+00</t>
  </si>
  <si>
    <t>1.44552e-08</t>
  </si>
  <si>
    <t>3.42569e-02</t>
  </si>
  <si>
    <t>-3.86949e-03</t>
  </si>
  <si>
    <t>2.08844e-02</t>
  </si>
  <si>
    <t>chr10:5318876</t>
  </si>
  <si>
    <t>7.55365e-02</t>
  </si>
  <si>
    <t>-5.63038e+00</t>
  </si>
  <si>
    <t>1.79813e-08</t>
  </si>
  <si>
    <t>2.79767e-02</t>
  </si>
  <si>
    <t>-3.13947e-03</t>
  </si>
  <si>
    <t>1.88128e-02</t>
  </si>
  <si>
    <t>chr10:5315300</t>
  </si>
  <si>
    <t>7.48927e-02</t>
  </si>
  <si>
    <t>-5.62567e+00</t>
  </si>
  <si>
    <t>1.84788e-08</t>
  </si>
  <si>
    <t>2.72771e-02</t>
  </si>
  <si>
    <t>-3.05844e-03</t>
  </si>
  <si>
    <t>1.85677e-02</t>
  </si>
  <si>
    <t>chr10:5318613</t>
  </si>
  <si>
    <t>7.44635e-02</t>
  </si>
  <si>
    <t>-5.62502e+00</t>
  </si>
  <si>
    <t>1.85483e-08</t>
  </si>
  <si>
    <t>2.71824e-02</t>
  </si>
  <si>
    <t>-3.04747e-03</t>
  </si>
  <si>
    <t>1.85343e-02</t>
  </si>
  <si>
    <t>chr10:5282387</t>
  </si>
  <si>
    <t>7.46781e-02</t>
  </si>
  <si>
    <t>-5.62127e+00</t>
  </si>
  <si>
    <t>1.89560e-08</t>
  </si>
  <si>
    <t>2.66395e-02</t>
  </si>
  <si>
    <t>-2.98464e-03</t>
  </si>
  <si>
    <t>1.83416e-02</t>
  </si>
  <si>
    <t>chr10:5272833</t>
  </si>
  <si>
    <t>-5.60674e+00</t>
  </si>
  <si>
    <t>2.06177e-08</t>
  </si>
  <si>
    <t>2.46416e-02</t>
  </si>
  <si>
    <t>-2.75376e-03</t>
  </si>
  <si>
    <t>1.76143e-02</t>
  </si>
  <si>
    <t>chr10:5305663</t>
  </si>
  <si>
    <t>-5.60172e+00</t>
  </si>
  <si>
    <t>2.12238e-08</t>
  </si>
  <si>
    <t>2.39880e-02</t>
  </si>
  <si>
    <t>-2.67835e-03</t>
  </si>
  <si>
    <t>1.73699e-02</t>
  </si>
  <si>
    <t>chr10:5298818</t>
  </si>
  <si>
    <t>-5.58688e+00</t>
  </si>
  <si>
    <t>2.31182e-08</t>
  </si>
  <si>
    <t>2.21588e-02</t>
  </si>
  <si>
    <t>-2.46764e-03</t>
  </si>
  <si>
    <t>1.66674e-02</t>
  </si>
  <si>
    <t>chr10:5324123</t>
  </si>
  <si>
    <t>8.39056e-02</t>
  </si>
  <si>
    <t>-5.58494e+00</t>
  </si>
  <si>
    <t>2.33787e-08</t>
  </si>
  <si>
    <t>2.19296e-02</t>
  </si>
  <si>
    <t>-2.44128e-03</t>
  </si>
  <si>
    <t>1.65773e-02</t>
  </si>
  <si>
    <t>chr10:5325459</t>
  </si>
  <si>
    <t>8.36910e-02</t>
  </si>
  <si>
    <t>-5.56526e+00</t>
  </si>
  <si>
    <t>2.61762e-08</t>
  </si>
  <si>
    <t>1.97465e-02</t>
  </si>
  <si>
    <t>-2.19061e-03</t>
  </si>
  <si>
    <t>1.56945e-02</t>
  </si>
  <si>
    <t>chr10:5326188</t>
  </si>
  <si>
    <t>7.53219e-02</t>
  </si>
  <si>
    <t>-5.56144e+00</t>
  </si>
  <si>
    <t>2.67563e-08</t>
  </si>
  <si>
    <t>1.93489e-02</t>
  </si>
  <si>
    <t>-2.14505e-03</t>
  </si>
  <si>
    <t>1.55286e-02</t>
  </si>
  <si>
    <t>chr10:5318564</t>
  </si>
  <si>
    <t>-5.55288e+00</t>
  </si>
  <si>
    <t>2.81005e-08</t>
  </si>
  <si>
    <t>1.84887e-02</t>
  </si>
  <si>
    <t>-2.04657e-03</t>
  </si>
  <si>
    <t>chr10:5013691</t>
  </si>
  <si>
    <t>7.70386e-02</t>
  </si>
  <si>
    <t>-5.54872e+00</t>
  </si>
  <si>
    <t>2.87776e-08</t>
  </si>
  <si>
    <t>1.80848e-02</t>
  </si>
  <si>
    <t>-2.00038e-03</t>
  </si>
  <si>
    <t>1.49893e-02</t>
  </si>
  <si>
    <t>chr10:5343926</t>
  </si>
  <si>
    <t>-5.54756e+00</t>
  </si>
  <si>
    <t>2.89690e-08</t>
  </si>
  <si>
    <t>1.79739e-02</t>
  </si>
  <si>
    <t>-1.98770e-03</t>
  </si>
  <si>
    <t>1.49412e-02</t>
  </si>
  <si>
    <t>chr10:5344029</t>
  </si>
  <si>
    <t>chr10:5322312</t>
  </si>
  <si>
    <t>-5.54164e+00</t>
  </si>
  <si>
    <t>2.99652e-08</t>
  </si>
  <si>
    <t>1.74189e-02</t>
  </si>
  <si>
    <t>-1.92429e-03</t>
  </si>
  <si>
    <t>1.46977e-02</t>
  </si>
  <si>
    <t>chr10:5324692</t>
  </si>
  <si>
    <t>8.45494e-02</t>
  </si>
  <si>
    <t>-5.53928e+00</t>
  </si>
  <si>
    <t>3.03717e-08</t>
  </si>
  <si>
    <t>1.72025e-02</t>
  </si>
  <si>
    <t>-1.89959e-03</t>
  </si>
  <si>
    <t>1.46017e-02</t>
  </si>
  <si>
    <t>chr10:5297852</t>
  </si>
  <si>
    <t>-5.53542e+00</t>
  </si>
  <si>
    <t>3.10479e-08</t>
  </si>
  <si>
    <t>1.68546e-02</t>
  </si>
  <si>
    <t>-1.85990e-03</t>
  </si>
  <si>
    <t>1.44462e-02</t>
  </si>
  <si>
    <t>chr10:5322851</t>
  </si>
  <si>
    <t>8.24034e-02</t>
  </si>
  <si>
    <t>-5.52977e+00</t>
  </si>
  <si>
    <t>3.20647e-08</t>
  </si>
  <si>
    <t>1.63582e-02</t>
  </si>
  <si>
    <t>-1.80330e-03</t>
  </si>
  <si>
    <t>1.42215e-02</t>
  </si>
  <si>
    <t>chr10:5323437</t>
  </si>
  <si>
    <t>-5.52031e+00</t>
  </si>
  <si>
    <t>3.38401e-08</t>
  </si>
  <si>
    <t>1.55605e-02</t>
  </si>
  <si>
    <t>-1.71246e-03</t>
  </si>
  <si>
    <t>1.38532e-02</t>
  </si>
  <si>
    <t>chr10:5338377</t>
  </si>
  <si>
    <t>-5.50231e+00</t>
  </si>
  <si>
    <t>3.74849e-08</t>
  </si>
  <si>
    <t>1.41517e-02</t>
  </si>
  <si>
    <t>-1.55241e-03</t>
  </si>
  <si>
    <t>1.31792e-02</t>
  </si>
  <si>
    <t>chr10:5324472</t>
  </si>
  <si>
    <t>8.41202e-02</t>
  </si>
  <si>
    <t>-5.49193e+00</t>
  </si>
  <si>
    <t>3.97569e-08</t>
  </si>
  <si>
    <t>1.33998e-02</t>
  </si>
  <si>
    <t>-1.46720e-03</t>
  </si>
  <si>
    <t>1.28059e-02</t>
  </si>
  <si>
    <t>chr10:5324551</t>
  </si>
  <si>
    <t>chr10:5324627</t>
  </si>
  <si>
    <t>chr10:5328074</t>
  </si>
  <si>
    <t>-5.47734e+00</t>
  </si>
  <si>
    <t>4.31766e-08</t>
  </si>
  <si>
    <t>1.24123e-02</t>
  </si>
  <si>
    <t>-1.35551e-03</t>
  </si>
  <si>
    <t>1.22998e-02</t>
  </si>
  <si>
    <t>chr10:5344428</t>
  </si>
  <si>
    <t>-5.47621e+00</t>
  </si>
  <si>
    <t>4.34525e-08</t>
  </si>
  <si>
    <t>1.23392e-02</t>
  </si>
  <si>
    <t>-1.34725e-03</t>
  </si>
  <si>
    <t>1.22615e-02</t>
  </si>
  <si>
    <t>chr10:5323552</t>
  </si>
  <si>
    <t>-5.45804e+00</t>
  </si>
  <si>
    <t>4.81432e-08</t>
  </si>
  <si>
    <t>1.12199e-02</t>
  </si>
  <si>
    <t>-1.22102e-03</t>
  </si>
  <si>
    <t>1.16615e-02</t>
  </si>
  <si>
    <t>chr10:5346930</t>
  </si>
  <si>
    <t>8.34764e-02</t>
  </si>
  <si>
    <t>-5.44775e+00</t>
  </si>
  <si>
    <t>5.10106e-08</t>
  </si>
  <si>
    <t>1.06336e-02</t>
  </si>
  <si>
    <t>-1.15506e-03</t>
  </si>
  <si>
    <t>1.13356e-02</t>
  </si>
  <si>
    <t>chr10:5320373</t>
  </si>
  <si>
    <t>-5.44504e+00</t>
  </si>
  <si>
    <t>5.17930e-08</t>
  </si>
  <si>
    <t>1.04845e-02</t>
  </si>
  <si>
    <t>-1.13831e-03</t>
  </si>
  <si>
    <t>1.12513e-02</t>
  </si>
  <si>
    <t>chr10:5324104</t>
  </si>
  <si>
    <t>8.49785e-02</t>
  </si>
  <si>
    <t>-5.42425e+00</t>
  </si>
  <si>
    <t>5.81991e-08</t>
  </si>
  <si>
    <t>9.40951e-03</t>
  </si>
  <si>
    <t>-1.01774e-03</t>
  </si>
  <si>
    <t>1.06256e-02</t>
  </si>
  <si>
    <t>chr10:5340766</t>
  </si>
  <si>
    <t>8.32618e-02</t>
  </si>
  <si>
    <t>-5.41735e+00</t>
  </si>
  <si>
    <t>6.04886e-08</t>
  </si>
  <si>
    <t>9.07869e-03</t>
  </si>
  <si>
    <t>-9.80728e-04</t>
  </si>
  <si>
    <t>1.04262e-02</t>
  </si>
  <si>
    <t>chr10:5334483</t>
  </si>
  <si>
    <t>-5.41279e+00</t>
  </si>
  <si>
    <t>6.20495e-08</t>
  </si>
  <si>
    <t>8.86665e-03</t>
  </si>
  <si>
    <t>-9.57027e-04</t>
  </si>
  <si>
    <t>1.02965e-02</t>
  </si>
  <si>
    <t>chr10:5341460</t>
  </si>
  <si>
    <t>-5.41212e+00</t>
  </si>
  <si>
    <t>6.22837e-08</t>
  </si>
  <si>
    <t>8.83571e-03</t>
  </si>
  <si>
    <t>-9.53570e-04</t>
  </si>
  <si>
    <t>1.02775e-02</t>
  </si>
  <si>
    <t>chr10:5325049</t>
  </si>
  <si>
    <t>-5.40839e+00</t>
  </si>
  <si>
    <t>6.35951e-08</t>
  </si>
  <si>
    <t>8.66657e-03</t>
  </si>
  <si>
    <t>-9.34679e-04</t>
  </si>
  <si>
    <t>1.01728e-02</t>
  </si>
  <si>
    <t>chr10:5338558</t>
  </si>
  <si>
    <t>-5.40483e+00</t>
  </si>
  <si>
    <t>6.48683e-08</t>
  </si>
  <si>
    <t>8.50867e-03</t>
  </si>
  <si>
    <t>-9.17055e-04</t>
  </si>
  <si>
    <t>1.00741e-02</t>
  </si>
  <si>
    <t>chr10:5335340</t>
  </si>
  <si>
    <t>-5.37715e+00</t>
  </si>
  <si>
    <t>7.56736e-08</t>
  </si>
  <si>
    <t>7.37559e-03</t>
  </si>
  <si>
    <t>-7.90911e-04</t>
  </si>
  <si>
    <t>9.33874e-03</t>
  </si>
  <si>
    <t>chr10:5335518</t>
  </si>
  <si>
    <t>chr10:5342647</t>
  </si>
  <si>
    <t>-5.34654e+00</t>
  </si>
  <si>
    <t>8.96497e-08</t>
  </si>
  <si>
    <t>6.30272e-03</t>
  </si>
  <si>
    <t>-6.72063e-04</t>
  </si>
  <si>
    <t>8.59046e-03</t>
  </si>
  <si>
    <r>
      <t>SIZE_nonfunct_10.4.8</t>
    </r>
    <r>
      <rPr>
        <sz val="12"/>
        <color rgb="FF000000"/>
        <rFont val="Menlo"/>
        <family val="2"/>
      </rPr>
      <t>-</t>
    </r>
    <r>
      <rPr>
        <sz val="12"/>
        <color rgb="FF098658"/>
        <rFont val="Menlo"/>
        <family val="2"/>
      </rPr>
      <t>5.</t>
    </r>
    <r>
      <rPr>
        <sz val="12"/>
        <color rgb="FFCD3131"/>
        <rFont val="Menlo"/>
        <family val="2"/>
      </rPr>
      <t>8Mb</t>
    </r>
    <r>
      <rPr>
        <sz val="12"/>
        <color rgb="FF3B3B3B"/>
        <rFont val="Menlo"/>
        <family val="2"/>
      </rPr>
      <t>.gz</t>
    </r>
  </si>
  <si>
    <t>SIZE_nonfunct_11.22.2_23.2Mb.gz</t>
  </si>
  <si>
    <t>chr11:22746786</t>
  </si>
  <si>
    <t>3.11803e-01</t>
  </si>
  <si>
    <t>5.62979e+00</t>
  </si>
  <si>
    <t>1.80430e-08</t>
  </si>
  <si>
    <t>7.98823e-02</t>
  </si>
  <si>
    <t>8.94792e-03</t>
  </si>
  <si>
    <t>3.09024e-02</t>
  </si>
  <si>
    <t>chr11:22750376</t>
  </si>
  <si>
    <t>3.10515e-01</t>
  </si>
  <si>
    <t>5.62277e+00</t>
  </si>
  <si>
    <t>1.87915e-08</t>
  </si>
  <si>
    <t>7.69330e-02</t>
  </si>
  <si>
    <t>8.60697e-03</t>
  </si>
  <si>
    <t>3.03374e-02</t>
  </si>
  <si>
    <t>chr11:22749464</t>
  </si>
  <si>
    <t>3.15236e-01</t>
  </si>
  <si>
    <t>5.62180e+00</t>
  </si>
  <si>
    <t>1.88982e-08</t>
  </si>
  <si>
    <t>7.65307e-02</t>
  </si>
  <si>
    <t>8.56049e-03</t>
  </si>
  <si>
    <t>3.02593e-02</t>
  </si>
  <si>
    <t>chr11:22747408</t>
  </si>
  <si>
    <t>3.18026e-01</t>
  </si>
  <si>
    <t>5.58259e+00</t>
  </si>
  <si>
    <t>2.36963e-08</t>
  </si>
  <si>
    <t>6.20709e-02</t>
  </si>
  <si>
    <t>6.89528e-03</t>
  </si>
  <si>
    <t>2.72739e-02</t>
  </si>
  <si>
    <t>chr11:22747638</t>
  </si>
  <si>
    <t>3.12661e-01</t>
  </si>
  <si>
    <t>5.56908e+00</t>
  </si>
  <si>
    <t>2.56089e-08</t>
  </si>
  <si>
    <t>5.77678e-02</t>
  </si>
  <si>
    <t>6.40194e-03</t>
  </si>
  <si>
    <t>2.63089e-02</t>
  </si>
  <si>
    <t>chr11:22747265</t>
  </si>
  <si>
    <t>5.54731e+00</t>
  </si>
  <si>
    <t>2.90098e-08</t>
  </si>
  <si>
    <t>5.14711e-02</t>
  </si>
  <si>
    <t>5.68212e-03</t>
  </si>
  <si>
    <t>2.48209e-02</t>
  </si>
  <si>
    <t>chr11:22749603</t>
  </si>
  <si>
    <t>2.90129e-01</t>
  </si>
  <si>
    <t>5.53899e+00</t>
  </si>
  <si>
    <t>3.04222e-08</t>
  </si>
  <si>
    <t>4.92554e-02</t>
  </si>
  <si>
    <t>5.42947e-03</t>
  </si>
  <si>
    <t>2.42734e-02</t>
  </si>
  <si>
    <t>chr11:22740732</t>
  </si>
  <si>
    <t>3.06223e-01</t>
  </si>
  <si>
    <t>5.53800e+00</t>
  </si>
  <si>
    <t>3.05948e-08</t>
  </si>
  <si>
    <t>4.89983e-02</t>
  </si>
  <si>
    <t>5.40017e-03</t>
  </si>
  <si>
    <t>2.42090e-02</t>
  </si>
  <si>
    <t>chr11:22745495</t>
  </si>
  <si>
    <t>3.11588e-01</t>
  </si>
  <si>
    <t>5.52300e+00</t>
  </si>
  <si>
    <t>3.33269e-08</t>
  </si>
  <si>
    <t>4.52688e-02</t>
  </si>
  <si>
    <t>4.97579e-03</t>
  </si>
  <si>
    <t>2.32532e-02</t>
  </si>
  <si>
    <t>chr11:22750817</t>
  </si>
  <si>
    <t>3.15880e-01</t>
  </si>
  <si>
    <t>5.49821e+00</t>
  </si>
  <si>
    <t>3.83661e-08</t>
  </si>
  <si>
    <t>3.97374e-02</t>
  </si>
  <si>
    <t>4.34846e-03</t>
  </si>
  <si>
    <t>2.17537e-02</t>
  </si>
  <si>
    <t>chr11:22730150</t>
  </si>
  <si>
    <t>3.11373e-01</t>
  </si>
  <si>
    <t>5.47550e+00</t>
  </si>
  <si>
    <t>4.36272e-08</t>
  </si>
  <si>
    <t>3.52816e-02</t>
  </si>
  <si>
    <t>3.84512e-03</t>
  </si>
  <si>
    <t>2.04628e-02</t>
  </si>
  <si>
    <t>chr11:22725474</t>
  </si>
  <si>
    <t>5.40165e+00</t>
  </si>
  <si>
    <t>6.60304e-08</t>
  </si>
  <si>
    <t>2.40425e-02</t>
  </si>
  <si>
    <t>2.58534e-03</t>
  </si>
  <si>
    <t>1.67683e-02</t>
  </si>
  <si>
    <t>chr11:22736918</t>
  </si>
  <si>
    <t>5.40041e+00</t>
  </si>
  <si>
    <t>6.64884e-08</t>
  </si>
  <si>
    <t>2.38893e-02</t>
  </si>
  <si>
    <t>2.56828e-03</t>
  </si>
  <si>
    <t>1.67123e-02</t>
  </si>
  <si>
    <t>chr11:22738630</t>
  </si>
  <si>
    <t>3.11159e-01</t>
  </si>
  <si>
    <t>5.37454e+00</t>
  </si>
  <si>
    <t>7.67786e-08</t>
  </si>
  <si>
    <t>2.09109e-02</t>
  </si>
  <si>
    <t>2.23745e-03</t>
  </si>
  <si>
    <t>1.55874e-02</t>
  </si>
  <si>
    <t>chr11:22748632</t>
  </si>
  <si>
    <t>3.19957e-01</t>
  </si>
  <si>
    <t>5.36450e+00</t>
  </si>
  <si>
    <t>8.11722e-08</t>
  </si>
  <si>
    <t>1.98614e-02</t>
  </si>
  <si>
    <t>2.12123e-03</t>
  </si>
  <si>
    <t>1.51720e-02</t>
  </si>
  <si>
    <t>chr11:22725347</t>
  </si>
  <si>
    <t>3.10730e-01</t>
  </si>
  <si>
    <t>5.33110e+00</t>
  </si>
  <si>
    <t>9.76212e-08</t>
  </si>
  <si>
    <t>1.67440e-02</t>
  </si>
  <si>
    <t>1.77729e-03</t>
  </si>
  <si>
    <t>1.38691e-02</t>
  </si>
  <si>
    <t>chr11:22732344</t>
  </si>
  <si>
    <t>3.12446e-01</t>
  </si>
  <si>
    <t>5.31752e+00</t>
  </si>
  <si>
    <t>1.05188e-07</t>
  </si>
  <si>
    <t>1.56265e-02</t>
  </si>
  <si>
    <t>1.65449e-03</t>
  </si>
  <si>
    <t>1.33731e-02</t>
  </si>
  <si>
    <t>chr11:22740254</t>
  </si>
  <si>
    <t>5.30801e+00</t>
  </si>
  <si>
    <t>1.10829e-07</t>
  </si>
  <si>
    <t>1.48892e-02</t>
  </si>
  <si>
    <t>1.57365e-03</t>
  </si>
  <si>
    <t>1.30362e-02</t>
  </si>
  <si>
    <t>chr11:22733002</t>
  </si>
  <si>
    <t>5.30668e+00</t>
  </si>
  <si>
    <t>1.11642e-07</t>
  </si>
  <si>
    <t>1.47888e-02</t>
  </si>
  <si>
    <t>1.56265e-03</t>
  </si>
  <si>
    <t>1.29898e-02</t>
  </si>
  <si>
    <t>chr11:22731793</t>
  </si>
  <si>
    <t>5.30535e+00</t>
  </si>
  <si>
    <t>1.12457e-07</t>
  </si>
  <si>
    <t>1.46897e-02</t>
  </si>
  <si>
    <t>1.55179e-03</t>
  </si>
  <si>
    <t>1.29437e-02</t>
  </si>
  <si>
    <t>chr11:22743455</t>
  </si>
  <si>
    <t>2.92704e-01</t>
  </si>
  <si>
    <t>5.29970e+00</t>
  </si>
  <si>
    <t>1.15991e-07</t>
  </si>
  <si>
    <t>1.42751e-02</t>
  </si>
  <si>
    <t>1.50641e-03</t>
  </si>
  <si>
    <t>1.27494e-02</t>
  </si>
  <si>
    <t>chr11:22719978</t>
  </si>
  <si>
    <t>3.19528e-01</t>
  </si>
  <si>
    <t>5.29023e+00</t>
  </si>
  <si>
    <t>1.22162e-07</t>
  </si>
  <si>
    <t>1.36067e-02</t>
  </si>
  <si>
    <t>1.43334e-03</t>
  </si>
  <si>
    <t>1.24302e-02</t>
  </si>
  <si>
    <t>chr11:22736655</t>
  </si>
  <si>
    <t>3.14807e-01</t>
  </si>
  <si>
    <t>5.28542e+00</t>
  </si>
  <si>
    <t>1.25414e-07</t>
  </si>
  <si>
    <t>1.32800e-02</t>
  </si>
  <si>
    <t>1.39766e-03</t>
  </si>
  <si>
    <t>1.22714e-02</t>
  </si>
  <si>
    <t>chr11:22739649</t>
  </si>
  <si>
    <t>5.28027e+00</t>
  </si>
  <si>
    <t>1.28992e-07</t>
  </si>
  <si>
    <t>1.29388e-02</t>
  </si>
  <si>
    <t>1.36045e-03</t>
  </si>
  <si>
    <t>1.21035e-02</t>
  </si>
  <si>
    <t>chr11:22731462</t>
  </si>
  <si>
    <t>3.12017e-01</t>
  </si>
  <si>
    <t>5.26725e+00</t>
  </si>
  <si>
    <t>1.38483e-07</t>
  </si>
  <si>
    <t>1.21163e-02</t>
  </si>
  <si>
    <t>1.27086e-03</t>
  </si>
  <si>
    <t>1.16896e-02</t>
  </si>
  <si>
    <t>chr11:22731061</t>
  </si>
  <si>
    <t>5.26092e+00</t>
  </si>
  <si>
    <t>1.43335e-07</t>
  </si>
  <si>
    <t>1.17364e-02</t>
  </si>
  <si>
    <t>1.22955e-03</t>
  </si>
  <si>
    <t>1.14939e-02</t>
  </si>
  <si>
    <t>chr11:22746059</t>
  </si>
  <si>
    <t>3.15665e-01</t>
  </si>
  <si>
    <t>5.25541e+00</t>
  </si>
  <si>
    <t>1.47698e-07</t>
  </si>
  <si>
    <t>1.14153e-02</t>
  </si>
  <si>
    <t>1.19467e-03</t>
  </si>
  <si>
    <t>1.13260e-02</t>
  </si>
  <si>
    <t>chr11:22723139</t>
  </si>
  <si>
    <t>2.90773e-01</t>
  </si>
  <si>
    <t>5.25193e+00</t>
  </si>
  <si>
    <t>1.50517e-07</t>
  </si>
  <si>
    <t>1.12174e-02</t>
  </si>
  <si>
    <t>1.17319e-03</t>
  </si>
  <si>
    <t>1.12214e-02</t>
  </si>
  <si>
    <t>chr11:22732812</t>
  </si>
  <si>
    <t>5.25093e+00</t>
  </si>
  <si>
    <t>1.51332e-07</t>
  </si>
  <si>
    <t>1.11614e-02</t>
  </si>
  <si>
    <t>1.16712e-03</t>
  </si>
  <si>
    <t>1.11917e-02</t>
  </si>
  <si>
    <t>chr11:22735469</t>
  </si>
  <si>
    <t>5.24548e+00</t>
  </si>
  <si>
    <t>1.55878e-07</t>
  </si>
  <si>
    <t>1.08600e-02</t>
  </si>
  <si>
    <t>1.13444e-03</t>
  </si>
  <si>
    <t>1.10302e-02</t>
  </si>
  <si>
    <t>chr11:22744897</t>
  </si>
  <si>
    <t>2.91845e-01</t>
  </si>
  <si>
    <t>5.23322e+00</t>
  </si>
  <si>
    <t>1.66579e-07</t>
  </si>
  <si>
    <t>1.02131e-02</t>
  </si>
  <si>
    <t>1.06440e-03</t>
  </si>
  <si>
    <t>1.06762e-02</t>
  </si>
  <si>
    <t>chr11:22733382</t>
  </si>
  <si>
    <t>3.20601e-01</t>
  </si>
  <si>
    <t>5.21074e+00</t>
  </si>
  <si>
    <t>1.88092e-07</t>
  </si>
  <si>
    <t>9.12774e-03</t>
  </si>
  <si>
    <t>9.47241e-04</t>
  </si>
  <si>
    <t>1.00570e-02</t>
  </si>
  <si>
    <t>chr11:22730321</t>
  </si>
  <si>
    <t>3.15021e-01</t>
  </si>
  <si>
    <t>5.21013e+00</t>
  </si>
  <si>
    <t>1.88707e-07</t>
  </si>
  <si>
    <t>9.10025e-03</t>
  </si>
  <si>
    <t>9.44280e-04</t>
  </si>
  <si>
    <t>1.00409e-02</t>
  </si>
  <si>
    <t>chr11:22720754</t>
  </si>
  <si>
    <t>3.18455e-01</t>
  </si>
  <si>
    <t>5.19408e+00</t>
  </si>
  <si>
    <t>2.05731e-07</t>
  </si>
  <si>
    <t>8.40150e-03</t>
  </si>
  <si>
    <t>8.69120e-04</t>
  </si>
  <si>
    <t>9.62268e-03</t>
  </si>
  <si>
    <t>chr11:22738032</t>
  </si>
  <si>
    <t>3.19313e-01</t>
  </si>
  <si>
    <t>5.18548e+00</t>
  </si>
  <si>
    <t>2.15459e-07</t>
  </si>
  <si>
    <t>8.05006e-03</t>
  </si>
  <si>
    <t>8.31401e-04</t>
  </si>
  <si>
    <t>9.40602e-03</t>
  </si>
  <si>
    <r>
      <t>SIZE_nonfunct_12.33.5</t>
    </r>
    <r>
      <rPr>
        <sz val="12"/>
        <color rgb="FF000000"/>
        <rFont val="Menlo"/>
        <family val="2"/>
      </rPr>
      <t>-</t>
    </r>
    <r>
      <rPr>
        <sz val="12"/>
        <color rgb="FF098658"/>
        <rFont val="Menlo"/>
        <family val="2"/>
      </rPr>
      <t>34.</t>
    </r>
    <r>
      <rPr>
        <sz val="12"/>
        <color rgb="FFCD3131"/>
        <rFont val="Menlo"/>
        <family val="2"/>
      </rPr>
      <t>5Mb</t>
    </r>
    <r>
      <rPr>
        <sz val="12"/>
        <color rgb="FF3B3B3B"/>
        <rFont val="Menlo"/>
        <family val="2"/>
      </rPr>
      <t>.gz</t>
    </r>
  </si>
  <si>
    <t>chr12:34056547</t>
  </si>
  <si>
    <t>3.25107e-01</t>
  </si>
  <si>
    <t>-5.88544e+00</t>
  </si>
  <si>
    <t>3.96998e-09</t>
  </si>
  <si>
    <t>4.99982e-01</t>
  </si>
  <si>
    <t>-5.81836e-02</t>
  </si>
  <si>
    <t>5.99315e-02</t>
  </si>
  <si>
    <t>chr12:34054888</t>
  </si>
  <si>
    <t>3.22961e-01</t>
  </si>
  <si>
    <t>-5.81018e+00</t>
  </si>
  <si>
    <t>6.24056e-09</t>
  </si>
  <si>
    <t>3.25438e-01</t>
  </si>
  <si>
    <t>-3.73688e-02</t>
  </si>
  <si>
    <t>5.50406e-02</t>
  </si>
  <si>
    <t>chr12:34051640</t>
  </si>
  <si>
    <t>3.47639e-01</t>
  </si>
  <si>
    <t>-5.56364e+00</t>
  </si>
  <si>
    <t>2.64207e-08</t>
  </si>
  <si>
    <t>8.36884e-02</t>
  </si>
  <si>
    <t>-9.17984e-03</t>
  </si>
  <si>
    <t>3.09657e-02</t>
  </si>
  <si>
    <t>chr12:34057510</t>
  </si>
  <si>
    <t>3.04506e-01</t>
  </si>
  <si>
    <t>-5.54309e+00</t>
  </si>
  <si>
    <t>2.97182e-08</t>
  </si>
  <si>
    <t>6.74747e-02</t>
  </si>
  <si>
    <t>-7.34321e-03</t>
  </si>
  <si>
    <t>2.78351e-02</t>
  </si>
  <si>
    <t>SIZE_nonfunct_26.7.4_8.4Mb.gz</t>
  </si>
  <si>
    <t>no CS</t>
  </si>
  <si>
    <t>SIZE_nonfunct_34.18_19Mb.gz</t>
  </si>
  <si>
    <t>Region</t>
  </si>
  <si>
    <t>Region size</t>
  </si>
  <si>
    <t>2Mb</t>
  </si>
  <si>
    <t>1Mb</t>
  </si>
  <si>
    <t>3Mb</t>
  </si>
  <si>
    <t>CS nr SNPs</t>
  </si>
  <si>
    <t>CS1 (7 SNPs)</t>
  </si>
  <si>
    <t>CS1 (44 SNPs)</t>
  </si>
  <si>
    <t>CS1 (35 SNPs)</t>
  </si>
  <si>
    <t>CS1 (4 SNPs)</t>
  </si>
  <si>
    <t>CS boundraries - start</t>
  </si>
  <si>
    <t>stop</t>
  </si>
  <si>
    <t>CS1 (1SNP: 91685322) CS2(5SNPs)</t>
  </si>
  <si>
    <t>CS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</si>
</sst>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3B3B3B"/>
      <name val="Menlo"/>
      <family val="2"/>
    </font>
    <font>
      <sz val="12"/>
      <color rgb="FF000000"/>
      <name val="Menlo"/>
      <family val="2"/>
    </font>
    <font>
      <sz val="12"/>
      <color rgb="FF098658"/>
      <name val="Menlo"/>
      <family val="2"/>
    </font>
    <font>
      <sz val="12"/>
      <color rgb="FFCD3131"/>
      <name val="Menlo"/>
      <family val="2"/>
    </font>
    <font>
      <b/>
      <sz val="12"/>
      <color theme="1"/>
      <name val="Aptos Narrow"/>
      <scheme val="minor"/>
    </font>
    <font>
      <b/>
      <sz val="12"/>
      <color rgb="FF3B3B3B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5D53-60E2-6749-BE45-FF79C12D8401}">
  <dimension ref="A2:W121"/>
  <sheetViews>
    <sheetView tabSelected="1" topLeftCell="D1" workbookViewId="0">
      <selection activeCell="T24" sqref="T24"/>
    </sheetView>
  </sheetViews>
  <sheetFormatPr baseColWidth="10" defaultRowHeight="16" x14ac:dyDescent="0.2"/>
  <cols>
    <col min="1" max="1" width="14.33203125" bestFit="1" customWidth="1"/>
    <col min="2" max="3" width="3.1640625" bestFit="1" customWidth="1"/>
    <col min="4" max="4" width="11.33203125" bestFit="1" customWidth="1"/>
    <col min="5" max="5" width="5.1640625" bestFit="1" customWidth="1"/>
    <col min="6" max="6" width="5" bestFit="1" customWidth="1"/>
    <col min="7" max="7" width="9.1640625" bestFit="1" customWidth="1"/>
    <col min="8" max="8" width="11.6640625" bestFit="1" customWidth="1"/>
    <col min="9" max="12" width="11.33203125" bestFit="1" customWidth="1"/>
    <col min="13" max="13" width="23.1640625" bestFit="1" customWidth="1"/>
    <col min="14" max="14" width="13.1640625" bestFit="1" customWidth="1"/>
    <col min="15" max="15" width="37" bestFit="1" customWidth="1"/>
    <col min="18" max="18" width="38.1640625" bestFit="1" customWidth="1"/>
    <col min="20" max="20" width="30" bestFit="1" customWidth="1"/>
    <col min="21" max="21" width="19.1640625" bestFit="1" customWidth="1"/>
  </cols>
  <sheetData>
    <row r="2" spans="1:23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/>
    </row>
    <row r="3" spans="1:23" x14ac:dyDescent="0.2">
      <c r="A3" t="s">
        <v>47</v>
      </c>
      <c r="B3" t="s">
        <v>24</v>
      </c>
      <c r="C3" t="s">
        <v>15</v>
      </c>
      <c r="D3" t="s">
        <v>48</v>
      </c>
      <c r="E3">
        <v>2330</v>
      </c>
      <c r="F3">
        <v>3</v>
      </c>
      <c r="G3">
        <v>91685322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>
        <v>196773</v>
      </c>
      <c r="N3">
        <v>1</v>
      </c>
      <c r="O3" s="1" t="s">
        <v>83</v>
      </c>
      <c r="R3" s="3" t="s">
        <v>662</v>
      </c>
      <c r="S3" s="4" t="s">
        <v>663</v>
      </c>
      <c r="T3" s="4" t="s">
        <v>667</v>
      </c>
      <c r="U3" s="4" t="s">
        <v>672</v>
      </c>
      <c r="V3" s="4" t="s">
        <v>673</v>
      </c>
      <c r="W3" s="4" t="s">
        <v>675</v>
      </c>
    </row>
    <row r="4" spans="1:23" x14ac:dyDescent="0.2">
      <c r="A4" t="s">
        <v>69</v>
      </c>
      <c r="B4" t="s">
        <v>16</v>
      </c>
      <c r="C4" t="s">
        <v>32</v>
      </c>
      <c r="D4" t="s">
        <v>70</v>
      </c>
      <c r="E4">
        <v>2330</v>
      </c>
      <c r="F4">
        <v>3</v>
      </c>
      <c r="G4">
        <v>91676865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>
        <v>188316</v>
      </c>
      <c r="N4">
        <v>2</v>
      </c>
      <c r="R4" s="1" t="s">
        <v>83</v>
      </c>
      <c r="S4" t="s">
        <v>664</v>
      </c>
      <c r="T4" t="s">
        <v>674</v>
      </c>
      <c r="U4">
        <v>91676865</v>
      </c>
      <c r="V4">
        <v>91680752</v>
      </c>
      <c r="W4">
        <f>V4-U4</f>
        <v>3887</v>
      </c>
    </row>
    <row r="5" spans="1:23" x14ac:dyDescent="0.2">
      <c r="A5" t="s">
        <v>54</v>
      </c>
      <c r="B5" t="s">
        <v>24</v>
      </c>
      <c r="C5" t="s">
        <v>32</v>
      </c>
      <c r="D5" t="s">
        <v>55</v>
      </c>
      <c r="E5">
        <v>2330</v>
      </c>
      <c r="F5">
        <v>3</v>
      </c>
      <c r="G5">
        <v>91677085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>
        <v>188536</v>
      </c>
      <c r="N5">
        <v>2</v>
      </c>
      <c r="R5" s="1" t="s">
        <v>84</v>
      </c>
      <c r="S5" t="s">
        <v>665</v>
      </c>
      <c r="T5" t="s">
        <v>660</v>
      </c>
      <c r="W5">
        <f t="shared" ref="W5" si="0">V5-U5</f>
        <v>0</v>
      </c>
    </row>
    <row r="6" spans="1:23" x14ac:dyDescent="0.2">
      <c r="A6" t="s">
        <v>61</v>
      </c>
      <c r="B6" t="s">
        <v>24</v>
      </c>
      <c r="C6" t="s">
        <v>16</v>
      </c>
      <c r="D6" t="s">
        <v>55</v>
      </c>
      <c r="E6">
        <v>2330</v>
      </c>
      <c r="F6">
        <v>3</v>
      </c>
      <c r="G6">
        <v>91677086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>
        <v>188537</v>
      </c>
      <c r="N6">
        <v>2</v>
      </c>
      <c r="R6" s="1" t="s">
        <v>135</v>
      </c>
      <c r="S6" t="s">
        <v>665</v>
      </c>
      <c r="T6" t="s">
        <v>668</v>
      </c>
      <c r="U6">
        <v>14650103</v>
      </c>
      <c r="V6">
        <v>15198385</v>
      </c>
      <c r="W6">
        <f>V6-U6</f>
        <v>548282</v>
      </c>
    </row>
    <row r="7" spans="1:23" x14ac:dyDescent="0.2">
      <c r="A7" t="s">
        <v>76</v>
      </c>
      <c r="B7" t="s">
        <v>24</v>
      </c>
      <c r="C7" t="s">
        <v>15</v>
      </c>
      <c r="D7" t="s">
        <v>77</v>
      </c>
      <c r="E7">
        <v>2330</v>
      </c>
      <c r="F7">
        <v>3</v>
      </c>
      <c r="G7">
        <v>91679526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>
        <v>190977</v>
      </c>
      <c r="N7">
        <v>2</v>
      </c>
      <c r="R7" s="1" t="s">
        <v>393</v>
      </c>
      <c r="S7" t="s">
        <v>665</v>
      </c>
      <c r="T7" t="s">
        <v>669</v>
      </c>
      <c r="U7">
        <v>5013691</v>
      </c>
      <c r="V7">
        <v>5346930</v>
      </c>
      <c r="W7">
        <f>V7-U7</f>
        <v>333239</v>
      </c>
    </row>
    <row r="8" spans="1:23" x14ac:dyDescent="0.2">
      <c r="A8" t="s">
        <v>62</v>
      </c>
      <c r="B8" t="s">
        <v>16</v>
      </c>
      <c r="C8" t="s">
        <v>32</v>
      </c>
      <c r="D8" t="s">
        <v>63</v>
      </c>
      <c r="E8">
        <v>2330</v>
      </c>
      <c r="F8">
        <v>3</v>
      </c>
      <c r="G8">
        <v>91680752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>
        <v>192203</v>
      </c>
      <c r="N8">
        <v>2</v>
      </c>
      <c r="R8" s="1" t="s">
        <v>394</v>
      </c>
      <c r="S8" t="s">
        <v>665</v>
      </c>
      <c r="T8" t="s">
        <v>670</v>
      </c>
      <c r="U8">
        <v>22719978</v>
      </c>
      <c r="V8">
        <v>22750817</v>
      </c>
      <c r="W8">
        <f>V8-U8</f>
        <v>30839</v>
      </c>
    </row>
    <row r="9" spans="1:23" x14ac:dyDescent="0.2">
      <c r="R9" s="1" t="s">
        <v>630</v>
      </c>
      <c r="S9" t="s">
        <v>665</v>
      </c>
      <c r="T9" t="s">
        <v>671</v>
      </c>
      <c r="U9">
        <v>34051640</v>
      </c>
      <c r="V9">
        <v>34057510</v>
      </c>
      <c r="W9">
        <f>V9-U9</f>
        <v>5870</v>
      </c>
    </row>
    <row r="10" spans="1:23" x14ac:dyDescent="0.2">
      <c r="O10" s="1" t="s">
        <v>84</v>
      </c>
      <c r="R10" s="1" t="s">
        <v>46</v>
      </c>
      <c r="S10" t="s">
        <v>666</v>
      </c>
      <c r="T10" t="s">
        <v>671</v>
      </c>
      <c r="U10">
        <v>41915479</v>
      </c>
      <c r="V10">
        <v>41921601</v>
      </c>
      <c r="W10">
        <f>V10-U10</f>
        <v>6122</v>
      </c>
    </row>
    <row r="11" spans="1:23" x14ac:dyDescent="0.2">
      <c r="A11" t="s">
        <v>85</v>
      </c>
      <c r="R11" s="1" t="s">
        <v>659</v>
      </c>
      <c r="S11" t="s">
        <v>665</v>
      </c>
      <c r="T11" t="s">
        <v>660</v>
      </c>
    </row>
    <row r="12" spans="1:23" x14ac:dyDescent="0.2">
      <c r="R12" s="1" t="s">
        <v>661</v>
      </c>
      <c r="S12" t="s">
        <v>665</v>
      </c>
      <c r="T12" t="s">
        <v>660</v>
      </c>
    </row>
    <row r="14" spans="1:23" x14ac:dyDescent="0.2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</row>
    <row r="15" spans="1:23" x14ac:dyDescent="0.2">
      <c r="A15" t="s">
        <v>128</v>
      </c>
      <c r="B15" t="s">
        <v>24</v>
      </c>
      <c r="C15" t="s">
        <v>32</v>
      </c>
      <c r="D15" t="s">
        <v>129</v>
      </c>
      <c r="E15">
        <v>2330</v>
      </c>
      <c r="F15">
        <v>9</v>
      </c>
      <c r="G15">
        <v>14650103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  <c r="M15">
        <v>50019</v>
      </c>
      <c r="N15">
        <v>1</v>
      </c>
      <c r="O15" s="1" t="s">
        <v>135</v>
      </c>
    </row>
    <row r="16" spans="1:23" x14ac:dyDescent="0.2">
      <c r="A16" t="s">
        <v>86</v>
      </c>
      <c r="B16" t="s">
        <v>24</v>
      </c>
      <c r="C16" t="s">
        <v>15</v>
      </c>
      <c r="D16" t="s">
        <v>87</v>
      </c>
      <c r="E16">
        <v>2330</v>
      </c>
      <c r="F16">
        <v>9</v>
      </c>
      <c r="G16">
        <v>14778436</v>
      </c>
      <c r="H16" t="s">
        <v>88</v>
      </c>
      <c r="I16" t="s">
        <v>89</v>
      </c>
      <c r="J16" t="s">
        <v>90</v>
      </c>
      <c r="K16" t="s">
        <v>91</v>
      </c>
      <c r="L16" t="s">
        <v>92</v>
      </c>
      <c r="M16">
        <v>78314</v>
      </c>
      <c r="N16">
        <v>1</v>
      </c>
    </row>
    <row r="17" spans="1:15" x14ac:dyDescent="0.2">
      <c r="A17" t="s">
        <v>107</v>
      </c>
      <c r="B17" t="s">
        <v>16</v>
      </c>
      <c r="C17" t="s">
        <v>32</v>
      </c>
      <c r="D17" t="s">
        <v>108</v>
      </c>
      <c r="E17">
        <v>2330</v>
      </c>
      <c r="F17">
        <v>9</v>
      </c>
      <c r="G17">
        <v>15098227</v>
      </c>
      <c r="H17" t="s">
        <v>109</v>
      </c>
      <c r="I17" t="s">
        <v>110</v>
      </c>
      <c r="J17" t="s">
        <v>111</v>
      </c>
      <c r="K17" t="s">
        <v>112</v>
      </c>
      <c r="L17" t="s">
        <v>113</v>
      </c>
      <c r="M17">
        <v>398105</v>
      </c>
      <c r="N17">
        <v>1</v>
      </c>
    </row>
    <row r="18" spans="1:15" x14ac:dyDescent="0.2">
      <c r="A18" t="s">
        <v>121</v>
      </c>
      <c r="B18" t="s">
        <v>16</v>
      </c>
      <c r="C18" t="s">
        <v>32</v>
      </c>
      <c r="D18" t="s">
        <v>122</v>
      </c>
      <c r="E18">
        <v>2330</v>
      </c>
      <c r="F18">
        <v>9</v>
      </c>
      <c r="G18">
        <v>15114793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>
        <v>414671</v>
      </c>
      <c r="N18">
        <v>1</v>
      </c>
    </row>
    <row r="19" spans="1:15" x14ac:dyDescent="0.2">
      <c r="A19" t="s">
        <v>114</v>
      </c>
      <c r="B19" t="s">
        <v>24</v>
      </c>
      <c r="C19" t="s">
        <v>15</v>
      </c>
      <c r="D19" t="s">
        <v>115</v>
      </c>
      <c r="E19">
        <v>2330</v>
      </c>
      <c r="F19">
        <v>9</v>
      </c>
      <c r="G19">
        <v>15116410</v>
      </c>
      <c r="H19" t="s">
        <v>116</v>
      </c>
      <c r="I19" t="s">
        <v>117</v>
      </c>
      <c r="J19" t="s">
        <v>118</v>
      </c>
      <c r="K19" t="s">
        <v>119</v>
      </c>
      <c r="L19" t="s">
        <v>120</v>
      </c>
      <c r="M19">
        <v>416288</v>
      </c>
      <c r="N19">
        <v>1</v>
      </c>
    </row>
    <row r="20" spans="1:15" x14ac:dyDescent="0.2">
      <c r="A20" t="s">
        <v>93</v>
      </c>
      <c r="B20" t="s">
        <v>32</v>
      </c>
      <c r="C20" t="s">
        <v>16</v>
      </c>
      <c r="D20" t="s">
        <v>94</v>
      </c>
      <c r="E20">
        <v>2330</v>
      </c>
      <c r="F20">
        <v>9</v>
      </c>
      <c r="G20">
        <v>15151807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>
        <v>451685</v>
      </c>
      <c r="N20">
        <v>1</v>
      </c>
    </row>
    <row r="21" spans="1:15" x14ac:dyDescent="0.2">
      <c r="A21" t="s">
        <v>100</v>
      </c>
      <c r="B21" t="s">
        <v>15</v>
      </c>
      <c r="C21" t="s">
        <v>24</v>
      </c>
      <c r="D21" t="s">
        <v>101</v>
      </c>
      <c r="E21">
        <v>2330</v>
      </c>
      <c r="F21">
        <v>9</v>
      </c>
      <c r="G21">
        <v>15198385</v>
      </c>
      <c r="H21" t="s">
        <v>102</v>
      </c>
      <c r="I21" t="s">
        <v>103</v>
      </c>
      <c r="J21" t="s">
        <v>104</v>
      </c>
      <c r="K21" t="s">
        <v>105</v>
      </c>
      <c r="L21" t="s">
        <v>106</v>
      </c>
      <c r="M21">
        <v>498263</v>
      </c>
      <c r="N21">
        <v>1</v>
      </c>
    </row>
    <row r="23" spans="1:15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</row>
    <row r="24" spans="1:15" x14ac:dyDescent="0.2">
      <c r="A24" t="s">
        <v>250</v>
      </c>
      <c r="B24" t="s">
        <v>16</v>
      </c>
      <c r="C24" t="s">
        <v>32</v>
      </c>
      <c r="D24" t="s">
        <v>251</v>
      </c>
      <c r="E24">
        <v>2330</v>
      </c>
      <c r="F24">
        <v>10</v>
      </c>
      <c r="G24">
        <v>5013691</v>
      </c>
      <c r="H24" t="s">
        <v>252</v>
      </c>
      <c r="I24" t="s">
        <v>253</v>
      </c>
      <c r="J24" t="s">
        <v>254</v>
      </c>
      <c r="K24" t="s">
        <v>255</v>
      </c>
      <c r="L24" t="s">
        <v>256</v>
      </c>
      <c r="M24">
        <v>287120</v>
      </c>
      <c r="N24">
        <v>1</v>
      </c>
      <c r="O24" s="1" t="s">
        <v>393</v>
      </c>
    </row>
    <row r="25" spans="1:15" x14ac:dyDescent="0.2">
      <c r="A25" t="s">
        <v>206</v>
      </c>
      <c r="B25" t="s">
        <v>24</v>
      </c>
      <c r="C25" t="s">
        <v>15</v>
      </c>
      <c r="D25" t="s">
        <v>186</v>
      </c>
      <c r="E25">
        <v>2330</v>
      </c>
      <c r="F25">
        <v>10</v>
      </c>
      <c r="G25">
        <v>5272833</v>
      </c>
      <c r="H25" t="s">
        <v>207</v>
      </c>
      <c r="I25" t="s">
        <v>208</v>
      </c>
      <c r="J25" t="s">
        <v>209</v>
      </c>
      <c r="K25" t="s">
        <v>210</v>
      </c>
      <c r="L25" t="s">
        <v>211</v>
      </c>
      <c r="M25">
        <v>27978</v>
      </c>
      <c r="N25">
        <v>1</v>
      </c>
    </row>
    <row r="26" spans="1:15" x14ac:dyDescent="0.2">
      <c r="A26" t="s">
        <v>199</v>
      </c>
      <c r="B26" t="s">
        <v>32</v>
      </c>
      <c r="C26" t="s">
        <v>15</v>
      </c>
      <c r="D26" t="s">
        <v>200</v>
      </c>
      <c r="E26">
        <v>2330</v>
      </c>
      <c r="F26">
        <v>10</v>
      </c>
      <c r="G26">
        <v>5282387</v>
      </c>
      <c r="H26" t="s">
        <v>201</v>
      </c>
      <c r="I26" t="s">
        <v>202</v>
      </c>
      <c r="J26" t="s">
        <v>203</v>
      </c>
      <c r="K26" t="s">
        <v>204</v>
      </c>
      <c r="L26" t="s">
        <v>205</v>
      </c>
      <c r="M26">
        <v>18424</v>
      </c>
      <c r="N26">
        <v>1</v>
      </c>
    </row>
    <row r="27" spans="1:15" x14ac:dyDescent="0.2">
      <c r="A27" t="s">
        <v>277</v>
      </c>
      <c r="B27" t="s">
        <v>16</v>
      </c>
      <c r="C27" t="s">
        <v>32</v>
      </c>
      <c r="D27" t="s">
        <v>186</v>
      </c>
      <c r="E27">
        <v>2330</v>
      </c>
      <c r="F27">
        <v>10</v>
      </c>
      <c r="G27">
        <v>5297852</v>
      </c>
      <c r="H27" t="s">
        <v>278</v>
      </c>
      <c r="I27" t="s">
        <v>279</v>
      </c>
      <c r="J27" t="s">
        <v>280</v>
      </c>
      <c r="K27" t="s">
        <v>281</v>
      </c>
      <c r="L27" t="s">
        <v>282</v>
      </c>
      <c r="M27">
        <v>2959</v>
      </c>
      <c r="N27">
        <v>1</v>
      </c>
    </row>
    <row r="28" spans="1:15" x14ac:dyDescent="0.2">
      <c r="A28" t="s">
        <v>218</v>
      </c>
      <c r="B28" t="s">
        <v>24</v>
      </c>
      <c r="C28" t="s">
        <v>15</v>
      </c>
      <c r="D28" t="s">
        <v>186</v>
      </c>
      <c r="E28">
        <v>2330</v>
      </c>
      <c r="F28">
        <v>10</v>
      </c>
      <c r="G28">
        <v>5298818</v>
      </c>
      <c r="H28" t="s">
        <v>219</v>
      </c>
      <c r="I28" t="s">
        <v>220</v>
      </c>
      <c r="J28" t="s">
        <v>221</v>
      </c>
      <c r="K28" t="s">
        <v>222</v>
      </c>
      <c r="L28" t="s">
        <v>223</v>
      </c>
      <c r="M28">
        <v>1993</v>
      </c>
      <c r="N28">
        <v>1</v>
      </c>
    </row>
    <row r="29" spans="1:15" x14ac:dyDescent="0.2">
      <c r="A29" t="s">
        <v>212</v>
      </c>
      <c r="B29" t="s">
        <v>24</v>
      </c>
      <c r="C29" t="s">
        <v>15</v>
      </c>
      <c r="D29" t="s">
        <v>179</v>
      </c>
      <c r="E29">
        <v>2330</v>
      </c>
      <c r="F29">
        <v>10</v>
      </c>
      <c r="G29">
        <v>5305663</v>
      </c>
      <c r="H29" t="s">
        <v>213</v>
      </c>
      <c r="I29" t="s">
        <v>214</v>
      </c>
      <c r="J29" t="s">
        <v>215</v>
      </c>
      <c r="K29" t="s">
        <v>216</v>
      </c>
      <c r="L29" t="s">
        <v>217</v>
      </c>
      <c r="M29">
        <v>4852</v>
      </c>
      <c r="N29">
        <v>1</v>
      </c>
    </row>
    <row r="30" spans="1:15" x14ac:dyDescent="0.2">
      <c r="A30" t="s">
        <v>156</v>
      </c>
      <c r="B30" t="s">
        <v>32</v>
      </c>
      <c r="C30" t="s">
        <v>16</v>
      </c>
      <c r="D30" t="s">
        <v>157</v>
      </c>
      <c r="E30">
        <v>2330</v>
      </c>
      <c r="F30">
        <v>10</v>
      </c>
      <c r="G30">
        <v>5306411</v>
      </c>
      <c r="H30" t="s">
        <v>158</v>
      </c>
      <c r="I30" t="s">
        <v>159</v>
      </c>
      <c r="J30" t="s">
        <v>160</v>
      </c>
      <c r="K30" t="s">
        <v>161</v>
      </c>
      <c r="L30" t="s">
        <v>162</v>
      </c>
      <c r="M30">
        <v>5600</v>
      </c>
      <c r="N30">
        <v>1</v>
      </c>
    </row>
    <row r="31" spans="1:15" x14ac:dyDescent="0.2">
      <c r="A31" t="s">
        <v>163</v>
      </c>
      <c r="B31" t="s">
        <v>16</v>
      </c>
      <c r="C31" t="s">
        <v>24</v>
      </c>
      <c r="D31" t="s">
        <v>157</v>
      </c>
      <c r="E31">
        <v>2330</v>
      </c>
      <c r="F31">
        <v>10</v>
      </c>
      <c r="G31">
        <v>5307161</v>
      </c>
      <c r="H31" t="s">
        <v>158</v>
      </c>
      <c r="I31" t="s">
        <v>159</v>
      </c>
      <c r="J31" t="s">
        <v>160</v>
      </c>
      <c r="K31" t="s">
        <v>161</v>
      </c>
      <c r="L31" t="s">
        <v>162</v>
      </c>
      <c r="M31">
        <v>6350</v>
      </c>
      <c r="N31">
        <v>1</v>
      </c>
    </row>
    <row r="32" spans="1:15" x14ac:dyDescent="0.2">
      <c r="A32" t="s">
        <v>136</v>
      </c>
      <c r="B32" t="s">
        <v>32</v>
      </c>
      <c r="C32" t="s">
        <v>16</v>
      </c>
      <c r="D32" t="s">
        <v>137</v>
      </c>
      <c r="E32">
        <v>2330</v>
      </c>
      <c r="F32">
        <v>10</v>
      </c>
      <c r="G32">
        <v>5313148</v>
      </c>
      <c r="H32" t="s">
        <v>138</v>
      </c>
      <c r="I32" t="s">
        <v>139</v>
      </c>
      <c r="J32" t="s">
        <v>140</v>
      </c>
      <c r="K32" t="s">
        <v>141</v>
      </c>
      <c r="L32" t="s">
        <v>142</v>
      </c>
      <c r="M32">
        <v>12337</v>
      </c>
      <c r="N32">
        <v>1</v>
      </c>
    </row>
    <row r="33" spans="1:14" x14ac:dyDescent="0.2">
      <c r="A33" t="s">
        <v>185</v>
      </c>
      <c r="B33" t="s">
        <v>24</v>
      </c>
      <c r="C33" t="s">
        <v>15</v>
      </c>
      <c r="D33" t="s">
        <v>186</v>
      </c>
      <c r="E33">
        <v>2330</v>
      </c>
      <c r="F33">
        <v>10</v>
      </c>
      <c r="G33">
        <v>5315300</v>
      </c>
      <c r="H33" t="s">
        <v>187</v>
      </c>
      <c r="I33" t="s">
        <v>188</v>
      </c>
      <c r="J33" t="s">
        <v>189</v>
      </c>
      <c r="K33" t="s">
        <v>190</v>
      </c>
      <c r="L33" t="s">
        <v>191</v>
      </c>
      <c r="M33">
        <v>14489</v>
      </c>
      <c r="N33">
        <v>1</v>
      </c>
    </row>
    <row r="34" spans="1:14" x14ac:dyDescent="0.2">
      <c r="A34" t="s">
        <v>164</v>
      </c>
      <c r="B34" t="s">
        <v>15</v>
      </c>
      <c r="C34" t="s">
        <v>24</v>
      </c>
      <c r="D34" t="s">
        <v>165</v>
      </c>
      <c r="E34">
        <v>2330</v>
      </c>
      <c r="F34">
        <v>10</v>
      </c>
      <c r="G34">
        <v>5315680</v>
      </c>
      <c r="H34" t="s">
        <v>166</v>
      </c>
      <c r="I34" t="s">
        <v>167</v>
      </c>
      <c r="J34" t="s">
        <v>168</v>
      </c>
      <c r="K34" t="s">
        <v>169</v>
      </c>
      <c r="L34" t="s">
        <v>170</v>
      </c>
      <c r="M34">
        <v>14869</v>
      </c>
      <c r="N34">
        <v>1</v>
      </c>
    </row>
    <row r="35" spans="1:14" x14ac:dyDescent="0.2">
      <c r="A35" t="s">
        <v>171</v>
      </c>
      <c r="B35" t="s">
        <v>16</v>
      </c>
      <c r="C35" t="s">
        <v>32</v>
      </c>
      <c r="D35" t="s">
        <v>172</v>
      </c>
      <c r="E35">
        <v>2330</v>
      </c>
      <c r="F35">
        <v>10</v>
      </c>
      <c r="G35">
        <v>5317105</v>
      </c>
      <c r="H35" t="s">
        <v>173</v>
      </c>
      <c r="I35" t="s">
        <v>174</v>
      </c>
      <c r="J35" t="s">
        <v>175</v>
      </c>
      <c r="K35" t="s">
        <v>176</v>
      </c>
      <c r="L35" t="s">
        <v>177</v>
      </c>
      <c r="M35">
        <v>16294</v>
      </c>
      <c r="N35">
        <v>1</v>
      </c>
    </row>
    <row r="36" spans="1:14" x14ac:dyDescent="0.2">
      <c r="A36" t="s">
        <v>245</v>
      </c>
      <c r="B36" t="s">
        <v>32</v>
      </c>
      <c r="C36" t="s">
        <v>16</v>
      </c>
      <c r="D36" t="s">
        <v>193</v>
      </c>
      <c r="E36">
        <v>2330</v>
      </c>
      <c r="F36">
        <v>10</v>
      </c>
      <c r="G36">
        <v>5318564</v>
      </c>
      <c r="H36" t="s">
        <v>246</v>
      </c>
      <c r="I36" t="s">
        <v>247</v>
      </c>
      <c r="J36" t="s">
        <v>248</v>
      </c>
      <c r="K36" t="s">
        <v>249</v>
      </c>
      <c r="L36" t="s">
        <v>132</v>
      </c>
      <c r="M36">
        <v>17753</v>
      </c>
      <c r="N36">
        <v>1</v>
      </c>
    </row>
    <row r="37" spans="1:14" x14ac:dyDescent="0.2">
      <c r="A37" t="s">
        <v>192</v>
      </c>
      <c r="B37" t="s">
        <v>15</v>
      </c>
      <c r="C37" t="s">
        <v>16</v>
      </c>
      <c r="D37" t="s">
        <v>193</v>
      </c>
      <c r="E37">
        <v>2330</v>
      </c>
      <c r="F37">
        <v>10</v>
      </c>
      <c r="G37">
        <v>5318613</v>
      </c>
      <c r="H37" t="s">
        <v>194</v>
      </c>
      <c r="I37" t="s">
        <v>195</v>
      </c>
      <c r="J37" t="s">
        <v>196</v>
      </c>
      <c r="K37" t="s">
        <v>197</v>
      </c>
      <c r="L37" t="s">
        <v>198</v>
      </c>
      <c r="M37">
        <v>17802</v>
      </c>
      <c r="N37">
        <v>1</v>
      </c>
    </row>
    <row r="38" spans="1:14" x14ac:dyDescent="0.2">
      <c r="A38" t="s">
        <v>178</v>
      </c>
      <c r="B38" t="s">
        <v>16</v>
      </c>
      <c r="C38" t="s">
        <v>32</v>
      </c>
      <c r="D38" t="s">
        <v>179</v>
      </c>
      <c r="E38">
        <v>2330</v>
      </c>
      <c r="F38">
        <v>10</v>
      </c>
      <c r="G38">
        <v>5318876</v>
      </c>
      <c r="H38" t="s">
        <v>180</v>
      </c>
      <c r="I38" t="s">
        <v>181</v>
      </c>
      <c r="J38" t="s">
        <v>182</v>
      </c>
      <c r="K38" t="s">
        <v>183</v>
      </c>
      <c r="L38" t="s">
        <v>184</v>
      </c>
      <c r="M38">
        <v>18065</v>
      </c>
      <c r="N38">
        <v>1</v>
      </c>
    </row>
    <row r="39" spans="1:14" x14ac:dyDescent="0.2">
      <c r="A39" t="s">
        <v>143</v>
      </c>
      <c r="B39" t="s">
        <v>24</v>
      </c>
      <c r="C39" t="s">
        <v>16</v>
      </c>
      <c r="D39" t="s">
        <v>144</v>
      </c>
      <c r="E39">
        <v>2330</v>
      </c>
      <c r="F39">
        <v>10</v>
      </c>
      <c r="G39">
        <v>5319043</v>
      </c>
      <c r="H39" t="s">
        <v>145</v>
      </c>
      <c r="I39" t="s">
        <v>146</v>
      </c>
      <c r="J39" t="s">
        <v>147</v>
      </c>
      <c r="K39" t="s">
        <v>148</v>
      </c>
      <c r="L39" t="s">
        <v>149</v>
      </c>
      <c r="M39">
        <v>18232</v>
      </c>
      <c r="N39">
        <v>1</v>
      </c>
    </row>
    <row r="40" spans="1:14" x14ac:dyDescent="0.2">
      <c r="A40" t="s">
        <v>150</v>
      </c>
      <c r="B40" t="s">
        <v>32</v>
      </c>
      <c r="C40" t="s">
        <v>16</v>
      </c>
      <c r="D40" t="s">
        <v>144</v>
      </c>
      <c r="E40">
        <v>2330</v>
      </c>
      <c r="F40">
        <v>10</v>
      </c>
      <c r="G40">
        <v>5319106</v>
      </c>
      <c r="H40" t="s">
        <v>151</v>
      </c>
      <c r="I40" t="s">
        <v>152</v>
      </c>
      <c r="J40" t="s">
        <v>153</v>
      </c>
      <c r="K40" t="s">
        <v>154</v>
      </c>
      <c r="L40" t="s">
        <v>155</v>
      </c>
      <c r="M40">
        <v>18295</v>
      </c>
      <c r="N40">
        <v>1</v>
      </c>
    </row>
    <row r="41" spans="1:14" x14ac:dyDescent="0.2">
      <c r="A41" t="s">
        <v>336</v>
      </c>
      <c r="B41" t="s">
        <v>15</v>
      </c>
      <c r="C41" t="s">
        <v>24</v>
      </c>
      <c r="D41" t="s">
        <v>303</v>
      </c>
      <c r="E41">
        <v>2330</v>
      </c>
      <c r="F41">
        <v>10</v>
      </c>
      <c r="G41">
        <v>5320373</v>
      </c>
      <c r="H41" t="s">
        <v>337</v>
      </c>
      <c r="I41" t="s">
        <v>338</v>
      </c>
      <c r="J41" t="s">
        <v>339</v>
      </c>
      <c r="K41" t="s">
        <v>340</v>
      </c>
      <c r="L41" t="s">
        <v>341</v>
      </c>
      <c r="M41">
        <v>19562</v>
      </c>
      <c r="N41">
        <v>1</v>
      </c>
    </row>
    <row r="42" spans="1:14" x14ac:dyDescent="0.2">
      <c r="A42" t="s">
        <v>264</v>
      </c>
      <c r="B42" t="s">
        <v>16</v>
      </c>
      <c r="C42" t="s">
        <v>32</v>
      </c>
      <c r="D42" t="s">
        <v>165</v>
      </c>
      <c r="E42">
        <v>2330</v>
      </c>
      <c r="F42">
        <v>10</v>
      </c>
      <c r="G42">
        <v>5322312</v>
      </c>
      <c r="H42" t="s">
        <v>265</v>
      </c>
      <c r="I42" t="s">
        <v>266</v>
      </c>
      <c r="J42" t="s">
        <v>267</v>
      </c>
      <c r="K42" t="s">
        <v>268</v>
      </c>
      <c r="L42" t="s">
        <v>269</v>
      </c>
      <c r="M42">
        <v>21501</v>
      </c>
      <c r="N42">
        <v>1</v>
      </c>
    </row>
    <row r="43" spans="1:14" x14ac:dyDescent="0.2">
      <c r="A43" t="s">
        <v>283</v>
      </c>
      <c r="B43" t="s">
        <v>32</v>
      </c>
      <c r="C43" t="s">
        <v>16</v>
      </c>
      <c r="D43" t="s">
        <v>284</v>
      </c>
      <c r="E43">
        <v>2330</v>
      </c>
      <c r="F43">
        <v>10</v>
      </c>
      <c r="G43">
        <v>5322851</v>
      </c>
      <c r="H43" t="s">
        <v>285</v>
      </c>
      <c r="I43" t="s">
        <v>286</v>
      </c>
      <c r="J43" t="s">
        <v>287</v>
      </c>
      <c r="K43" t="s">
        <v>288</v>
      </c>
      <c r="L43" t="s">
        <v>289</v>
      </c>
      <c r="M43">
        <v>22040</v>
      </c>
      <c r="N43">
        <v>1</v>
      </c>
    </row>
    <row r="44" spans="1:14" x14ac:dyDescent="0.2">
      <c r="A44" t="s">
        <v>290</v>
      </c>
      <c r="B44" t="s">
        <v>32</v>
      </c>
      <c r="C44" t="s">
        <v>16</v>
      </c>
      <c r="D44" t="s">
        <v>239</v>
      </c>
      <c r="E44">
        <v>2330</v>
      </c>
      <c r="F44">
        <v>10</v>
      </c>
      <c r="G44">
        <v>5323437</v>
      </c>
      <c r="H44" t="s">
        <v>291</v>
      </c>
      <c r="I44" t="s">
        <v>292</v>
      </c>
      <c r="J44" t="s">
        <v>293</v>
      </c>
      <c r="K44" t="s">
        <v>294</v>
      </c>
      <c r="L44" t="s">
        <v>295</v>
      </c>
      <c r="M44">
        <v>22626</v>
      </c>
      <c r="N44">
        <v>1</v>
      </c>
    </row>
    <row r="45" spans="1:14" x14ac:dyDescent="0.2">
      <c r="A45" t="s">
        <v>323</v>
      </c>
      <c r="B45" t="s">
        <v>32</v>
      </c>
      <c r="C45" t="s">
        <v>24</v>
      </c>
      <c r="D45" t="s">
        <v>232</v>
      </c>
      <c r="E45">
        <v>2330</v>
      </c>
      <c r="F45">
        <v>10</v>
      </c>
      <c r="G45">
        <v>5323552</v>
      </c>
      <c r="H45" t="s">
        <v>324</v>
      </c>
      <c r="I45" t="s">
        <v>325</v>
      </c>
      <c r="J45" t="s">
        <v>326</v>
      </c>
      <c r="K45" t="s">
        <v>327</v>
      </c>
      <c r="L45" t="s">
        <v>328</v>
      </c>
      <c r="M45">
        <v>22741</v>
      </c>
      <c r="N45">
        <v>1</v>
      </c>
    </row>
    <row r="46" spans="1:14" x14ac:dyDescent="0.2">
      <c r="A46" t="s">
        <v>342</v>
      </c>
      <c r="B46" t="s">
        <v>24</v>
      </c>
      <c r="C46" t="s">
        <v>16</v>
      </c>
      <c r="D46" t="s">
        <v>343</v>
      </c>
      <c r="E46">
        <v>2330</v>
      </c>
      <c r="F46">
        <v>10</v>
      </c>
      <c r="G46">
        <v>5324104</v>
      </c>
      <c r="H46" t="s">
        <v>344</v>
      </c>
      <c r="I46" t="s">
        <v>345</v>
      </c>
      <c r="J46" t="s">
        <v>346</v>
      </c>
      <c r="K46" t="s">
        <v>347</v>
      </c>
      <c r="L46" t="s">
        <v>348</v>
      </c>
      <c r="M46">
        <v>23293</v>
      </c>
      <c r="N46">
        <v>1</v>
      </c>
    </row>
    <row r="47" spans="1:14" x14ac:dyDescent="0.2">
      <c r="A47" t="s">
        <v>224</v>
      </c>
      <c r="B47" t="s">
        <v>32</v>
      </c>
      <c r="C47" t="s">
        <v>24</v>
      </c>
      <c r="D47" t="s">
        <v>225</v>
      </c>
      <c r="E47">
        <v>2330</v>
      </c>
      <c r="F47">
        <v>10</v>
      </c>
      <c r="G47">
        <v>5324123</v>
      </c>
      <c r="H47" t="s">
        <v>226</v>
      </c>
      <c r="I47" t="s">
        <v>227</v>
      </c>
      <c r="J47" t="s">
        <v>228</v>
      </c>
      <c r="K47" t="s">
        <v>229</v>
      </c>
      <c r="L47" t="s">
        <v>230</v>
      </c>
      <c r="M47">
        <v>23312</v>
      </c>
      <c r="N47">
        <v>1</v>
      </c>
    </row>
    <row r="48" spans="1:14" x14ac:dyDescent="0.2">
      <c r="A48" t="s">
        <v>302</v>
      </c>
      <c r="B48" t="s">
        <v>24</v>
      </c>
      <c r="C48" t="s">
        <v>32</v>
      </c>
      <c r="D48" t="s">
        <v>303</v>
      </c>
      <c r="E48">
        <v>2330</v>
      </c>
      <c r="F48">
        <v>10</v>
      </c>
      <c r="G48">
        <v>5324472</v>
      </c>
      <c r="H48" t="s">
        <v>304</v>
      </c>
      <c r="I48" t="s">
        <v>305</v>
      </c>
      <c r="J48" t="s">
        <v>306</v>
      </c>
      <c r="K48" t="s">
        <v>307</v>
      </c>
      <c r="L48" t="s">
        <v>308</v>
      </c>
      <c r="M48">
        <v>23661</v>
      </c>
      <c r="N48">
        <v>1</v>
      </c>
    </row>
    <row r="49" spans="1:14" x14ac:dyDescent="0.2">
      <c r="A49" t="s">
        <v>309</v>
      </c>
      <c r="B49" t="s">
        <v>15</v>
      </c>
      <c r="C49" t="s">
        <v>24</v>
      </c>
      <c r="D49" t="s">
        <v>303</v>
      </c>
      <c r="E49">
        <v>2330</v>
      </c>
      <c r="F49">
        <v>10</v>
      </c>
      <c r="G49">
        <v>5324551</v>
      </c>
      <c r="H49" t="s">
        <v>304</v>
      </c>
      <c r="I49" t="s">
        <v>305</v>
      </c>
      <c r="J49" t="s">
        <v>306</v>
      </c>
      <c r="K49" t="s">
        <v>307</v>
      </c>
      <c r="L49" t="s">
        <v>308</v>
      </c>
      <c r="M49">
        <v>23740</v>
      </c>
      <c r="N49">
        <v>1</v>
      </c>
    </row>
    <row r="50" spans="1:14" x14ac:dyDescent="0.2">
      <c r="A50" t="s">
        <v>310</v>
      </c>
      <c r="B50" t="s">
        <v>15</v>
      </c>
      <c r="C50" t="s">
        <v>24</v>
      </c>
      <c r="D50" t="s">
        <v>303</v>
      </c>
      <c r="E50">
        <v>2330</v>
      </c>
      <c r="F50">
        <v>10</v>
      </c>
      <c r="G50">
        <v>5324627</v>
      </c>
      <c r="H50" t="s">
        <v>304</v>
      </c>
      <c r="I50" t="s">
        <v>305</v>
      </c>
      <c r="J50" t="s">
        <v>306</v>
      </c>
      <c r="K50" t="s">
        <v>307</v>
      </c>
      <c r="L50" t="s">
        <v>308</v>
      </c>
      <c r="M50">
        <v>23816</v>
      </c>
      <c r="N50">
        <v>1</v>
      </c>
    </row>
    <row r="51" spans="1:14" x14ac:dyDescent="0.2">
      <c r="A51" t="s">
        <v>270</v>
      </c>
      <c r="B51" t="s">
        <v>16</v>
      </c>
      <c r="C51" t="s">
        <v>15</v>
      </c>
      <c r="D51" t="s">
        <v>271</v>
      </c>
      <c r="E51">
        <v>2330</v>
      </c>
      <c r="F51">
        <v>10</v>
      </c>
      <c r="G51">
        <v>5324692</v>
      </c>
      <c r="H51" t="s">
        <v>272</v>
      </c>
      <c r="I51" t="s">
        <v>273</v>
      </c>
      <c r="J51" t="s">
        <v>274</v>
      </c>
      <c r="K51" t="s">
        <v>275</v>
      </c>
      <c r="L51" t="s">
        <v>276</v>
      </c>
      <c r="M51">
        <v>23881</v>
      </c>
      <c r="N51">
        <v>1</v>
      </c>
    </row>
    <row r="52" spans="1:14" x14ac:dyDescent="0.2">
      <c r="A52" t="s">
        <v>368</v>
      </c>
      <c r="B52" t="s">
        <v>16</v>
      </c>
      <c r="C52" t="s">
        <v>32</v>
      </c>
      <c r="D52" t="s">
        <v>225</v>
      </c>
      <c r="E52">
        <v>2330</v>
      </c>
      <c r="F52">
        <v>10</v>
      </c>
      <c r="G52">
        <v>5325049</v>
      </c>
      <c r="H52" t="s">
        <v>369</v>
      </c>
      <c r="I52" t="s">
        <v>370</v>
      </c>
      <c r="J52" t="s">
        <v>371</v>
      </c>
      <c r="K52" t="s">
        <v>372</v>
      </c>
      <c r="L52" t="s">
        <v>373</v>
      </c>
      <c r="M52">
        <v>24238</v>
      </c>
      <c r="N52">
        <v>1</v>
      </c>
    </row>
    <row r="53" spans="1:14" x14ac:dyDescent="0.2">
      <c r="A53" t="s">
        <v>231</v>
      </c>
      <c r="B53" t="s">
        <v>24</v>
      </c>
      <c r="C53" t="s">
        <v>15</v>
      </c>
      <c r="D53" t="s">
        <v>232</v>
      </c>
      <c r="E53">
        <v>2330</v>
      </c>
      <c r="F53">
        <v>10</v>
      </c>
      <c r="G53">
        <v>5325459</v>
      </c>
      <c r="H53" t="s">
        <v>233</v>
      </c>
      <c r="I53" t="s">
        <v>234</v>
      </c>
      <c r="J53" t="s">
        <v>235</v>
      </c>
      <c r="K53" t="s">
        <v>236</v>
      </c>
      <c r="L53" t="s">
        <v>237</v>
      </c>
      <c r="M53">
        <v>24648</v>
      </c>
      <c r="N53">
        <v>1</v>
      </c>
    </row>
    <row r="54" spans="1:14" x14ac:dyDescent="0.2">
      <c r="A54" t="s">
        <v>238</v>
      </c>
      <c r="B54" t="s">
        <v>16</v>
      </c>
      <c r="C54" t="s">
        <v>24</v>
      </c>
      <c r="D54" t="s">
        <v>239</v>
      </c>
      <c r="E54">
        <v>2330</v>
      </c>
      <c r="F54">
        <v>10</v>
      </c>
      <c r="G54">
        <v>5326188</v>
      </c>
      <c r="H54" t="s">
        <v>240</v>
      </c>
      <c r="I54" t="s">
        <v>241</v>
      </c>
      <c r="J54" t="s">
        <v>242</v>
      </c>
      <c r="K54" t="s">
        <v>243</v>
      </c>
      <c r="L54" t="s">
        <v>244</v>
      </c>
      <c r="M54">
        <v>25377</v>
      </c>
      <c r="N54">
        <v>1</v>
      </c>
    </row>
    <row r="55" spans="1:14" x14ac:dyDescent="0.2">
      <c r="A55" t="s">
        <v>311</v>
      </c>
      <c r="B55" t="s">
        <v>16</v>
      </c>
      <c r="C55" t="s">
        <v>32</v>
      </c>
      <c r="D55" t="s">
        <v>186</v>
      </c>
      <c r="E55">
        <v>2330</v>
      </c>
      <c r="F55">
        <v>10</v>
      </c>
      <c r="G55">
        <v>5328074</v>
      </c>
      <c r="H55" t="s">
        <v>312</v>
      </c>
      <c r="I55" t="s">
        <v>313</v>
      </c>
      <c r="J55" t="s">
        <v>314</v>
      </c>
      <c r="K55" t="s">
        <v>315</v>
      </c>
      <c r="L55" t="s">
        <v>316</v>
      </c>
      <c r="M55">
        <v>27263</v>
      </c>
      <c r="N55">
        <v>1</v>
      </c>
    </row>
    <row r="56" spans="1:14" x14ac:dyDescent="0.2">
      <c r="A56" t="s">
        <v>356</v>
      </c>
      <c r="B56" t="s">
        <v>16</v>
      </c>
      <c r="C56" t="s">
        <v>32</v>
      </c>
      <c r="D56" t="s">
        <v>186</v>
      </c>
      <c r="E56">
        <v>2330</v>
      </c>
      <c r="F56">
        <v>10</v>
      </c>
      <c r="G56">
        <v>5334483</v>
      </c>
      <c r="H56" t="s">
        <v>357</v>
      </c>
      <c r="I56" t="s">
        <v>358</v>
      </c>
      <c r="J56" t="s">
        <v>359</v>
      </c>
      <c r="K56" t="s">
        <v>360</v>
      </c>
      <c r="L56" t="s">
        <v>361</v>
      </c>
      <c r="M56">
        <v>33672</v>
      </c>
      <c r="N56">
        <v>1</v>
      </c>
    </row>
    <row r="57" spans="1:14" x14ac:dyDescent="0.2">
      <c r="A57" t="s">
        <v>380</v>
      </c>
      <c r="B57" t="s">
        <v>24</v>
      </c>
      <c r="C57" t="s">
        <v>15</v>
      </c>
      <c r="D57" t="s">
        <v>200</v>
      </c>
      <c r="E57">
        <v>2330</v>
      </c>
      <c r="F57">
        <v>10</v>
      </c>
      <c r="G57">
        <v>5335340</v>
      </c>
      <c r="H57" t="s">
        <v>381</v>
      </c>
      <c r="I57" t="s">
        <v>382</v>
      </c>
      <c r="J57" t="s">
        <v>383</v>
      </c>
      <c r="K57" t="s">
        <v>384</v>
      </c>
      <c r="L57" t="s">
        <v>385</v>
      </c>
      <c r="M57">
        <v>34529</v>
      </c>
      <c r="N57">
        <v>1</v>
      </c>
    </row>
    <row r="58" spans="1:14" x14ac:dyDescent="0.2">
      <c r="A58" t="s">
        <v>386</v>
      </c>
      <c r="B58" t="s">
        <v>16</v>
      </c>
      <c r="C58" t="s">
        <v>32</v>
      </c>
      <c r="D58" t="s">
        <v>200</v>
      </c>
      <c r="E58">
        <v>2330</v>
      </c>
      <c r="F58">
        <v>10</v>
      </c>
      <c r="G58">
        <v>5335518</v>
      </c>
      <c r="H58" t="s">
        <v>381</v>
      </c>
      <c r="I58" t="s">
        <v>382</v>
      </c>
      <c r="J58" t="s">
        <v>383</v>
      </c>
      <c r="K58" t="s">
        <v>384</v>
      </c>
      <c r="L58" t="s">
        <v>385</v>
      </c>
      <c r="M58">
        <v>34707</v>
      </c>
      <c r="N58">
        <v>1</v>
      </c>
    </row>
    <row r="59" spans="1:14" x14ac:dyDescent="0.2">
      <c r="A59" t="s">
        <v>296</v>
      </c>
      <c r="B59" t="s">
        <v>15</v>
      </c>
      <c r="C59" t="s">
        <v>16</v>
      </c>
      <c r="D59" t="s">
        <v>200</v>
      </c>
      <c r="E59">
        <v>2330</v>
      </c>
      <c r="F59">
        <v>10</v>
      </c>
      <c r="G59">
        <v>5338377</v>
      </c>
      <c r="H59" t="s">
        <v>297</v>
      </c>
      <c r="I59" t="s">
        <v>298</v>
      </c>
      <c r="J59" t="s">
        <v>299</v>
      </c>
      <c r="K59" t="s">
        <v>300</v>
      </c>
      <c r="L59" t="s">
        <v>301</v>
      </c>
      <c r="M59">
        <v>37566</v>
      </c>
      <c r="N59">
        <v>1</v>
      </c>
    </row>
    <row r="60" spans="1:14" x14ac:dyDescent="0.2">
      <c r="A60" t="s">
        <v>374</v>
      </c>
      <c r="B60" t="s">
        <v>15</v>
      </c>
      <c r="C60" t="s">
        <v>24</v>
      </c>
      <c r="D60" t="s">
        <v>186</v>
      </c>
      <c r="E60">
        <v>2330</v>
      </c>
      <c r="F60">
        <v>10</v>
      </c>
      <c r="G60">
        <v>5338558</v>
      </c>
      <c r="H60" t="s">
        <v>375</v>
      </c>
      <c r="I60" t="s">
        <v>376</v>
      </c>
      <c r="J60" t="s">
        <v>377</v>
      </c>
      <c r="K60" t="s">
        <v>378</v>
      </c>
      <c r="L60" t="s">
        <v>379</v>
      </c>
      <c r="M60">
        <v>37747</v>
      </c>
      <c r="N60">
        <v>1</v>
      </c>
    </row>
    <row r="61" spans="1:14" x14ac:dyDescent="0.2">
      <c r="A61" t="s">
        <v>349</v>
      </c>
      <c r="B61" t="s">
        <v>32</v>
      </c>
      <c r="C61" t="s">
        <v>15</v>
      </c>
      <c r="D61" t="s">
        <v>350</v>
      </c>
      <c r="E61">
        <v>2330</v>
      </c>
      <c r="F61">
        <v>10</v>
      </c>
      <c r="G61">
        <v>5340766</v>
      </c>
      <c r="H61" t="s">
        <v>351</v>
      </c>
      <c r="I61" t="s">
        <v>352</v>
      </c>
      <c r="J61" t="s">
        <v>353</v>
      </c>
      <c r="K61" t="s">
        <v>354</v>
      </c>
      <c r="L61" t="s">
        <v>355</v>
      </c>
      <c r="M61">
        <v>39955</v>
      </c>
      <c r="N61">
        <v>1</v>
      </c>
    </row>
    <row r="62" spans="1:14" x14ac:dyDescent="0.2">
      <c r="A62" t="s">
        <v>362</v>
      </c>
      <c r="B62" t="s">
        <v>16</v>
      </c>
      <c r="C62" t="s">
        <v>32</v>
      </c>
      <c r="D62" t="s">
        <v>330</v>
      </c>
      <c r="E62">
        <v>2330</v>
      </c>
      <c r="F62">
        <v>10</v>
      </c>
      <c r="G62">
        <v>5341460</v>
      </c>
      <c r="H62" t="s">
        <v>363</v>
      </c>
      <c r="I62" t="s">
        <v>364</v>
      </c>
      <c r="J62" t="s">
        <v>365</v>
      </c>
      <c r="K62" t="s">
        <v>366</v>
      </c>
      <c r="L62" t="s">
        <v>367</v>
      </c>
      <c r="M62">
        <v>40649</v>
      </c>
      <c r="N62">
        <v>1</v>
      </c>
    </row>
    <row r="63" spans="1:14" x14ac:dyDescent="0.2">
      <c r="A63" t="s">
        <v>387</v>
      </c>
      <c r="B63" t="s">
        <v>32</v>
      </c>
      <c r="C63" t="s">
        <v>15</v>
      </c>
      <c r="D63" t="s">
        <v>350</v>
      </c>
      <c r="E63">
        <v>2330</v>
      </c>
      <c r="F63">
        <v>10</v>
      </c>
      <c r="G63">
        <v>5342647</v>
      </c>
      <c r="H63" t="s">
        <v>388</v>
      </c>
      <c r="I63" t="s">
        <v>389</v>
      </c>
      <c r="J63" t="s">
        <v>390</v>
      </c>
      <c r="K63" t="s">
        <v>391</v>
      </c>
      <c r="L63" t="s">
        <v>392</v>
      </c>
      <c r="M63">
        <v>41836</v>
      </c>
      <c r="N63">
        <v>1</v>
      </c>
    </row>
    <row r="64" spans="1:14" x14ac:dyDescent="0.2">
      <c r="A64" t="s">
        <v>257</v>
      </c>
      <c r="B64" t="s">
        <v>32</v>
      </c>
      <c r="C64" t="s">
        <v>16</v>
      </c>
      <c r="D64" t="s">
        <v>232</v>
      </c>
      <c r="E64">
        <v>2330</v>
      </c>
      <c r="F64">
        <v>10</v>
      </c>
      <c r="G64">
        <v>5343926</v>
      </c>
      <c r="H64" t="s">
        <v>258</v>
      </c>
      <c r="I64" t="s">
        <v>259</v>
      </c>
      <c r="J64" t="s">
        <v>260</v>
      </c>
      <c r="K64" t="s">
        <v>261</v>
      </c>
      <c r="L64" t="s">
        <v>262</v>
      </c>
      <c r="M64">
        <v>43115</v>
      </c>
      <c r="N64">
        <v>1</v>
      </c>
    </row>
    <row r="65" spans="1:15" x14ac:dyDescent="0.2">
      <c r="A65" t="s">
        <v>263</v>
      </c>
      <c r="B65" t="s">
        <v>24</v>
      </c>
      <c r="C65" t="s">
        <v>15</v>
      </c>
      <c r="D65" t="s">
        <v>232</v>
      </c>
      <c r="E65">
        <v>2330</v>
      </c>
      <c r="F65">
        <v>10</v>
      </c>
      <c r="G65">
        <v>5344029</v>
      </c>
      <c r="H65" t="s">
        <v>258</v>
      </c>
      <c r="I65" t="s">
        <v>259</v>
      </c>
      <c r="J65" t="s">
        <v>260</v>
      </c>
      <c r="K65" t="s">
        <v>261</v>
      </c>
      <c r="L65" t="s">
        <v>262</v>
      </c>
      <c r="M65">
        <v>43218</v>
      </c>
      <c r="N65">
        <v>1</v>
      </c>
    </row>
    <row r="66" spans="1:15" x14ac:dyDescent="0.2">
      <c r="A66" t="s">
        <v>317</v>
      </c>
      <c r="B66" t="s">
        <v>32</v>
      </c>
      <c r="C66" t="s">
        <v>15</v>
      </c>
      <c r="D66" t="s">
        <v>225</v>
      </c>
      <c r="E66">
        <v>2330</v>
      </c>
      <c r="F66">
        <v>10</v>
      </c>
      <c r="G66">
        <v>5344428</v>
      </c>
      <c r="H66" t="s">
        <v>318</v>
      </c>
      <c r="I66" t="s">
        <v>319</v>
      </c>
      <c r="J66" t="s">
        <v>320</v>
      </c>
      <c r="K66" t="s">
        <v>321</v>
      </c>
      <c r="L66" t="s">
        <v>322</v>
      </c>
      <c r="M66">
        <v>43617</v>
      </c>
      <c r="N66">
        <v>1</v>
      </c>
    </row>
    <row r="67" spans="1:15" x14ac:dyDescent="0.2">
      <c r="A67" t="s">
        <v>329</v>
      </c>
      <c r="B67" t="s">
        <v>32</v>
      </c>
      <c r="C67" t="s">
        <v>16</v>
      </c>
      <c r="D67" t="s">
        <v>330</v>
      </c>
      <c r="E67">
        <v>2330</v>
      </c>
      <c r="F67">
        <v>10</v>
      </c>
      <c r="G67">
        <v>5346930</v>
      </c>
      <c r="H67" t="s">
        <v>331</v>
      </c>
      <c r="I67" t="s">
        <v>332</v>
      </c>
      <c r="J67" t="s">
        <v>333</v>
      </c>
      <c r="K67" t="s">
        <v>334</v>
      </c>
      <c r="L67" t="s">
        <v>335</v>
      </c>
      <c r="M67">
        <v>46119</v>
      </c>
      <c r="N67">
        <v>1</v>
      </c>
      <c r="O67">
        <f>67-23</f>
        <v>44</v>
      </c>
    </row>
    <row r="69" spans="1:15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t="s">
        <v>13</v>
      </c>
      <c r="O69" s="1" t="s">
        <v>394</v>
      </c>
    </row>
    <row r="70" spans="1:15" x14ac:dyDescent="0.2">
      <c r="A70" t="s">
        <v>536</v>
      </c>
      <c r="B70" t="s">
        <v>16</v>
      </c>
      <c r="C70" t="s">
        <v>32</v>
      </c>
      <c r="D70" t="s">
        <v>537</v>
      </c>
      <c r="E70">
        <v>2330</v>
      </c>
      <c r="F70">
        <v>11</v>
      </c>
      <c r="G70">
        <v>22719978</v>
      </c>
      <c r="H70" t="s">
        <v>538</v>
      </c>
      <c r="I70" t="s">
        <v>539</v>
      </c>
      <c r="J70" t="s">
        <v>540</v>
      </c>
      <c r="K70" t="s">
        <v>541</v>
      </c>
      <c r="L70" t="s">
        <v>542</v>
      </c>
      <c r="M70">
        <v>20083</v>
      </c>
      <c r="N70">
        <v>1</v>
      </c>
    </row>
    <row r="71" spans="1:15" x14ac:dyDescent="0.2">
      <c r="A71" t="s">
        <v>616</v>
      </c>
      <c r="B71" t="s">
        <v>32</v>
      </c>
      <c r="C71" t="s">
        <v>16</v>
      </c>
      <c r="D71" t="s">
        <v>617</v>
      </c>
      <c r="E71">
        <v>2330</v>
      </c>
      <c r="F71">
        <v>11</v>
      </c>
      <c r="G71">
        <v>22720754</v>
      </c>
      <c r="H71" t="s">
        <v>618</v>
      </c>
      <c r="I71" t="s">
        <v>619</v>
      </c>
      <c r="J71" t="s">
        <v>620</v>
      </c>
      <c r="K71" t="s">
        <v>621</v>
      </c>
      <c r="L71" t="s">
        <v>622</v>
      </c>
      <c r="M71">
        <v>20859</v>
      </c>
      <c r="N71">
        <v>1</v>
      </c>
    </row>
    <row r="72" spans="1:15" x14ac:dyDescent="0.2">
      <c r="A72" t="s">
        <v>576</v>
      </c>
      <c r="B72" t="s">
        <v>24</v>
      </c>
      <c r="C72" t="s">
        <v>32</v>
      </c>
      <c r="D72" t="s">
        <v>577</v>
      </c>
      <c r="E72">
        <v>2330</v>
      </c>
      <c r="F72">
        <v>11</v>
      </c>
      <c r="G72">
        <v>22723139</v>
      </c>
      <c r="H72" t="s">
        <v>578</v>
      </c>
      <c r="I72" t="s">
        <v>579</v>
      </c>
      <c r="J72" t="s">
        <v>580</v>
      </c>
      <c r="K72" t="s">
        <v>581</v>
      </c>
      <c r="L72" t="s">
        <v>582</v>
      </c>
      <c r="M72">
        <v>23244</v>
      </c>
      <c r="N72">
        <v>1</v>
      </c>
    </row>
    <row r="73" spans="1:15" x14ac:dyDescent="0.2">
      <c r="A73" t="s">
        <v>497</v>
      </c>
      <c r="B73" t="s">
        <v>24</v>
      </c>
      <c r="C73" t="s">
        <v>16</v>
      </c>
      <c r="D73" t="s">
        <v>498</v>
      </c>
      <c r="E73">
        <v>2330</v>
      </c>
      <c r="F73">
        <v>11</v>
      </c>
      <c r="G73">
        <v>22725347</v>
      </c>
      <c r="H73" t="s">
        <v>499</v>
      </c>
      <c r="I73" t="s">
        <v>500</v>
      </c>
      <c r="J73" t="s">
        <v>501</v>
      </c>
      <c r="K73" t="s">
        <v>502</v>
      </c>
      <c r="L73" t="s">
        <v>503</v>
      </c>
      <c r="M73">
        <v>25452</v>
      </c>
      <c r="N73">
        <v>1</v>
      </c>
    </row>
    <row r="74" spans="1:15" x14ac:dyDescent="0.2">
      <c r="A74" t="s">
        <v>471</v>
      </c>
      <c r="B74" t="s">
        <v>32</v>
      </c>
      <c r="C74" t="s">
        <v>16</v>
      </c>
      <c r="D74" t="s">
        <v>396</v>
      </c>
      <c r="E74">
        <v>2330</v>
      </c>
      <c r="F74">
        <v>11</v>
      </c>
      <c r="G74">
        <v>22725474</v>
      </c>
      <c r="H74" t="s">
        <v>472</v>
      </c>
      <c r="I74" t="s">
        <v>473</v>
      </c>
      <c r="J74" t="s">
        <v>474</v>
      </c>
      <c r="K74" t="s">
        <v>475</v>
      </c>
      <c r="L74" t="s">
        <v>476</v>
      </c>
      <c r="M74">
        <v>25579</v>
      </c>
      <c r="N74">
        <v>1</v>
      </c>
    </row>
    <row r="75" spans="1:15" x14ac:dyDescent="0.2">
      <c r="A75" t="s">
        <v>464</v>
      </c>
      <c r="B75" t="s">
        <v>24</v>
      </c>
      <c r="C75" t="s">
        <v>15</v>
      </c>
      <c r="D75" t="s">
        <v>465</v>
      </c>
      <c r="E75">
        <v>2330</v>
      </c>
      <c r="F75">
        <v>11</v>
      </c>
      <c r="G75">
        <v>22730150</v>
      </c>
      <c r="H75" t="s">
        <v>466</v>
      </c>
      <c r="I75" t="s">
        <v>467</v>
      </c>
      <c r="J75" t="s">
        <v>468</v>
      </c>
      <c r="K75" t="s">
        <v>469</v>
      </c>
      <c r="L75" t="s">
        <v>470</v>
      </c>
      <c r="M75">
        <v>30255</v>
      </c>
      <c r="N75">
        <v>1</v>
      </c>
    </row>
    <row r="76" spans="1:15" x14ac:dyDescent="0.2">
      <c r="A76" t="s">
        <v>609</v>
      </c>
      <c r="B76" t="s">
        <v>16</v>
      </c>
      <c r="C76" t="s">
        <v>32</v>
      </c>
      <c r="D76" t="s">
        <v>610</v>
      </c>
      <c r="E76">
        <v>2330</v>
      </c>
      <c r="F76">
        <v>11</v>
      </c>
      <c r="G76">
        <v>22730321</v>
      </c>
      <c r="H76" t="s">
        <v>611</v>
      </c>
      <c r="I76" t="s">
        <v>612</v>
      </c>
      <c r="J76" t="s">
        <v>613</v>
      </c>
      <c r="K76" t="s">
        <v>614</v>
      </c>
      <c r="L76" t="s">
        <v>615</v>
      </c>
      <c r="M76">
        <v>30426</v>
      </c>
      <c r="N76">
        <v>1</v>
      </c>
    </row>
    <row r="77" spans="1:15" x14ac:dyDescent="0.2">
      <c r="A77" t="s">
        <v>563</v>
      </c>
      <c r="B77" t="s">
        <v>16</v>
      </c>
      <c r="C77" t="s">
        <v>32</v>
      </c>
      <c r="D77" t="s">
        <v>396</v>
      </c>
      <c r="E77">
        <v>2330</v>
      </c>
      <c r="F77">
        <v>11</v>
      </c>
      <c r="G77">
        <v>22731061</v>
      </c>
      <c r="H77" t="s">
        <v>564</v>
      </c>
      <c r="I77" t="s">
        <v>565</v>
      </c>
      <c r="J77" t="s">
        <v>566</v>
      </c>
      <c r="K77" t="s">
        <v>567</v>
      </c>
      <c r="L77" t="s">
        <v>568</v>
      </c>
      <c r="M77">
        <v>31166</v>
      </c>
      <c r="N77">
        <v>1</v>
      </c>
    </row>
    <row r="78" spans="1:15" x14ac:dyDescent="0.2">
      <c r="A78" t="s">
        <v>556</v>
      </c>
      <c r="B78" t="s">
        <v>32</v>
      </c>
      <c r="C78" t="s">
        <v>16</v>
      </c>
      <c r="D78" t="s">
        <v>557</v>
      </c>
      <c r="E78">
        <v>2330</v>
      </c>
      <c r="F78">
        <v>11</v>
      </c>
      <c r="G78">
        <v>22731462</v>
      </c>
      <c r="H78" t="s">
        <v>558</v>
      </c>
      <c r="I78" t="s">
        <v>559</v>
      </c>
      <c r="J78" t="s">
        <v>560</v>
      </c>
      <c r="K78" t="s">
        <v>561</v>
      </c>
      <c r="L78" t="s">
        <v>562</v>
      </c>
      <c r="M78">
        <v>31567</v>
      </c>
      <c r="N78">
        <v>1</v>
      </c>
    </row>
    <row r="79" spans="1:15" x14ac:dyDescent="0.2">
      <c r="A79" t="s">
        <v>523</v>
      </c>
      <c r="B79" t="s">
        <v>32</v>
      </c>
      <c r="C79" t="s">
        <v>16</v>
      </c>
      <c r="D79" t="s">
        <v>505</v>
      </c>
      <c r="E79">
        <v>2330</v>
      </c>
      <c r="F79">
        <v>11</v>
      </c>
      <c r="G79">
        <v>22731793</v>
      </c>
      <c r="H79" t="s">
        <v>524</v>
      </c>
      <c r="I79" t="s">
        <v>525</v>
      </c>
      <c r="J79" t="s">
        <v>526</v>
      </c>
      <c r="K79" t="s">
        <v>527</v>
      </c>
      <c r="L79" t="s">
        <v>528</v>
      </c>
      <c r="M79">
        <v>31898</v>
      </c>
      <c r="N79">
        <v>1</v>
      </c>
    </row>
    <row r="80" spans="1:15" x14ac:dyDescent="0.2">
      <c r="A80" t="s">
        <v>504</v>
      </c>
      <c r="B80" t="s">
        <v>32</v>
      </c>
      <c r="C80" t="s">
        <v>16</v>
      </c>
      <c r="D80" t="s">
        <v>505</v>
      </c>
      <c r="E80">
        <v>2330</v>
      </c>
      <c r="F80">
        <v>11</v>
      </c>
      <c r="G80">
        <v>22732344</v>
      </c>
      <c r="H80" t="s">
        <v>506</v>
      </c>
      <c r="I80" t="s">
        <v>507</v>
      </c>
      <c r="J80" t="s">
        <v>508</v>
      </c>
      <c r="K80" t="s">
        <v>509</v>
      </c>
      <c r="L80" t="s">
        <v>510</v>
      </c>
      <c r="M80">
        <v>32449</v>
      </c>
      <c r="N80">
        <v>1</v>
      </c>
    </row>
    <row r="81" spans="1:14" x14ac:dyDescent="0.2">
      <c r="A81" t="s">
        <v>583</v>
      </c>
      <c r="B81" t="s">
        <v>24</v>
      </c>
      <c r="C81" t="s">
        <v>15</v>
      </c>
      <c r="D81" t="s">
        <v>505</v>
      </c>
      <c r="E81">
        <v>2330</v>
      </c>
      <c r="F81">
        <v>11</v>
      </c>
      <c r="G81">
        <v>22732812</v>
      </c>
      <c r="H81" t="s">
        <v>584</v>
      </c>
      <c r="I81" t="s">
        <v>585</v>
      </c>
      <c r="J81" t="s">
        <v>586</v>
      </c>
      <c r="K81" t="s">
        <v>587</v>
      </c>
      <c r="L81" t="s">
        <v>588</v>
      </c>
      <c r="M81">
        <v>32917</v>
      </c>
      <c r="N81">
        <v>1</v>
      </c>
    </row>
    <row r="82" spans="1:14" x14ac:dyDescent="0.2">
      <c r="A82" t="s">
        <v>517</v>
      </c>
      <c r="B82" t="s">
        <v>24</v>
      </c>
      <c r="C82" t="s">
        <v>15</v>
      </c>
      <c r="D82" t="s">
        <v>484</v>
      </c>
      <c r="E82">
        <v>2330</v>
      </c>
      <c r="F82">
        <v>11</v>
      </c>
      <c r="G82">
        <v>22733002</v>
      </c>
      <c r="H82" t="s">
        <v>518</v>
      </c>
      <c r="I82" t="s">
        <v>519</v>
      </c>
      <c r="J82" t="s">
        <v>520</v>
      </c>
      <c r="K82" t="s">
        <v>521</v>
      </c>
      <c r="L82" t="s">
        <v>522</v>
      </c>
      <c r="M82">
        <v>33107</v>
      </c>
      <c r="N82">
        <v>1</v>
      </c>
    </row>
    <row r="83" spans="1:14" x14ac:dyDescent="0.2">
      <c r="A83" t="s">
        <v>602</v>
      </c>
      <c r="B83" t="s">
        <v>32</v>
      </c>
      <c r="C83" t="s">
        <v>16</v>
      </c>
      <c r="D83" t="s">
        <v>603</v>
      </c>
      <c r="E83">
        <v>2330</v>
      </c>
      <c r="F83">
        <v>11</v>
      </c>
      <c r="G83">
        <v>22733382</v>
      </c>
      <c r="H83" t="s">
        <v>604</v>
      </c>
      <c r="I83" t="s">
        <v>605</v>
      </c>
      <c r="J83" t="s">
        <v>606</v>
      </c>
      <c r="K83" t="s">
        <v>607</v>
      </c>
      <c r="L83" t="s">
        <v>608</v>
      </c>
      <c r="M83">
        <v>33487</v>
      </c>
      <c r="N83">
        <v>1</v>
      </c>
    </row>
    <row r="84" spans="1:14" x14ac:dyDescent="0.2">
      <c r="A84" t="s">
        <v>589</v>
      </c>
      <c r="B84" t="s">
        <v>16</v>
      </c>
      <c r="C84" t="s">
        <v>24</v>
      </c>
      <c r="D84" t="s">
        <v>451</v>
      </c>
      <c r="E84">
        <v>2330</v>
      </c>
      <c r="F84">
        <v>11</v>
      </c>
      <c r="G84">
        <v>22735469</v>
      </c>
      <c r="H84" t="s">
        <v>590</v>
      </c>
      <c r="I84" t="s">
        <v>591</v>
      </c>
      <c r="J84" t="s">
        <v>592</v>
      </c>
      <c r="K84" t="s">
        <v>593</v>
      </c>
      <c r="L84" t="s">
        <v>594</v>
      </c>
      <c r="M84">
        <v>35574</v>
      </c>
      <c r="N84">
        <v>1</v>
      </c>
    </row>
    <row r="85" spans="1:14" x14ac:dyDescent="0.2">
      <c r="A85" t="s">
        <v>543</v>
      </c>
      <c r="B85" t="s">
        <v>24</v>
      </c>
      <c r="C85" t="s">
        <v>15</v>
      </c>
      <c r="D85" t="s">
        <v>544</v>
      </c>
      <c r="E85">
        <v>2330</v>
      </c>
      <c r="F85">
        <v>11</v>
      </c>
      <c r="G85">
        <v>22736655</v>
      </c>
      <c r="H85" t="s">
        <v>545</v>
      </c>
      <c r="I85" t="s">
        <v>546</v>
      </c>
      <c r="J85" t="s">
        <v>547</v>
      </c>
      <c r="K85" t="s">
        <v>548</v>
      </c>
      <c r="L85" t="s">
        <v>549</v>
      </c>
      <c r="M85">
        <v>36760</v>
      </c>
      <c r="N85">
        <v>1</v>
      </c>
    </row>
    <row r="86" spans="1:14" x14ac:dyDescent="0.2">
      <c r="A86" t="s">
        <v>477</v>
      </c>
      <c r="B86" t="s">
        <v>16</v>
      </c>
      <c r="C86" t="s">
        <v>32</v>
      </c>
      <c r="D86" t="s">
        <v>403</v>
      </c>
      <c r="E86">
        <v>2330</v>
      </c>
      <c r="F86">
        <v>11</v>
      </c>
      <c r="G86">
        <v>22736918</v>
      </c>
      <c r="H86" t="s">
        <v>478</v>
      </c>
      <c r="I86" t="s">
        <v>479</v>
      </c>
      <c r="J86" t="s">
        <v>480</v>
      </c>
      <c r="K86" t="s">
        <v>481</v>
      </c>
      <c r="L86" t="s">
        <v>482</v>
      </c>
      <c r="M86">
        <v>37023</v>
      </c>
      <c r="N86">
        <v>1</v>
      </c>
    </row>
    <row r="87" spans="1:14" x14ac:dyDescent="0.2">
      <c r="A87" t="s">
        <v>623</v>
      </c>
      <c r="B87" t="s">
        <v>24</v>
      </c>
      <c r="C87" t="s">
        <v>15</v>
      </c>
      <c r="D87" t="s">
        <v>624</v>
      </c>
      <c r="E87">
        <v>2330</v>
      </c>
      <c r="F87">
        <v>11</v>
      </c>
      <c r="G87">
        <v>22738032</v>
      </c>
      <c r="H87" t="s">
        <v>625</v>
      </c>
      <c r="I87" t="s">
        <v>626</v>
      </c>
      <c r="J87" t="s">
        <v>627</v>
      </c>
      <c r="K87" t="s">
        <v>628</v>
      </c>
      <c r="L87" t="s">
        <v>629</v>
      </c>
      <c r="M87">
        <v>38137</v>
      </c>
      <c r="N87">
        <v>1</v>
      </c>
    </row>
    <row r="88" spans="1:14" x14ac:dyDescent="0.2">
      <c r="A88" t="s">
        <v>483</v>
      </c>
      <c r="B88" t="s">
        <v>24</v>
      </c>
      <c r="C88" t="s">
        <v>15</v>
      </c>
      <c r="D88" t="s">
        <v>484</v>
      </c>
      <c r="E88">
        <v>2330</v>
      </c>
      <c r="F88">
        <v>11</v>
      </c>
      <c r="G88">
        <v>22738630</v>
      </c>
      <c r="H88" t="s">
        <v>485</v>
      </c>
      <c r="I88" t="s">
        <v>486</v>
      </c>
      <c r="J88" t="s">
        <v>487</v>
      </c>
      <c r="K88" t="s">
        <v>488</v>
      </c>
      <c r="L88" t="s">
        <v>489</v>
      </c>
      <c r="M88">
        <v>38735</v>
      </c>
      <c r="N88">
        <v>1</v>
      </c>
    </row>
    <row r="89" spans="1:14" x14ac:dyDescent="0.2">
      <c r="A89" t="s">
        <v>550</v>
      </c>
      <c r="B89" t="s">
        <v>15</v>
      </c>
      <c r="C89" t="s">
        <v>16</v>
      </c>
      <c r="D89" t="s">
        <v>498</v>
      </c>
      <c r="E89">
        <v>2330</v>
      </c>
      <c r="F89">
        <v>11</v>
      </c>
      <c r="G89">
        <v>22739649</v>
      </c>
      <c r="H89" t="s">
        <v>551</v>
      </c>
      <c r="I89" t="s">
        <v>552</v>
      </c>
      <c r="J89" t="s">
        <v>553</v>
      </c>
      <c r="K89" t="s">
        <v>554</v>
      </c>
      <c r="L89" t="s">
        <v>555</v>
      </c>
      <c r="M89">
        <v>39754</v>
      </c>
      <c r="N89">
        <v>1</v>
      </c>
    </row>
    <row r="90" spans="1:14" x14ac:dyDescent="0.2">
      <c r="A90" t="s">
        <v>511</v>
      </c>
      <c r="B90" t="s">
        <v>15</v>
      </c>
      <c r="C90" t="s">
        <v>16</v>
      </c>
      <c r="D90" t="s">
        <v>484</v>
      </c>
      <c r="E90">
        <v>2330</v>
      </c>
      <c r="F90">
        <v>11</v>
      </c>
      <c r="G90">
        <v>22740254</v>
      </c>
      <c r="H90" t="s">
        <v>512</v>
      </c>
      <c r="I90" t="s">
        <v>513</v>
      </c>
      <c r="J90" t="s">
        <v>514</v>
      </c>
      <c r="K90" t="s">
        <v>515</v>
      </c>
      <c r="L90" t="s">
        <v>516</v>
      </c>
      <c r="M90">
        <v>40359</v>
      </c>
      <c r="N90">
        <v>1</v>
      </c>
    </row>
    <row r="91" spans="1:14" x14ac:dyDescent="0.2">
      <c r="A91" t="s">
        <v>443</v>
      </c>
      <c r="B91" t="s">
        <v>24</v>
      </c>
      <c r="C91" t="s">
        <v>15</v>
      </c>
      <c r="D91" t="s">
        <v>444</v>
      </c>
      <c r="E91">
        <v>2330</v>
      </c>
      <c r="F91">
        <v>11</v>
      </c>
      <c r="G91">
        <v>22740732</v>
      </c>
      <c r="H91" t="s">
        <v>445</v>
      </c>
      <c r="I91" t="s">
        <v>446</v>
      </c>
      <c r="J91" t="s">
        <v>447</v>
      </c>
      <c r="K91" t="s">
        <v>448</v>
      </c>
      <c r="L91" t="s">
        <v>449</v>
      </c>
      <c r="M91">
        <v>40837</v>
      </c>
      <c r="N91">
        <v>1</v>
      </c>
    </row>
    <row r="92" spans="1:14" x14ac:dyDescent="0.2">
      <c r="A92" t="s">
        <v>529</v>
      </c>
      <c r="B92" t="s">
        <v>24</v>
      </c>
      <c r="C92" t="s">
        <v>15</v>
      </c>
      <c r="D92" t="s">
        <v>530</v>
      </c>
      <c r="E92">
        <v>2330</v>
      </c>
      <c r="F92">
        <v>11</v>
      </c>
      <c r="G92">
        <v>22743455</v>
      </c>
      <c r="H92" t="s">
        <v>531</v>
      </c>
      <c r="I92" t="s">
        <v>532</v>
      </c>
      <c r="J92" t="s">
        <v>533</v>
      </c>
      <c r="K92" t="s">
        <v>534</v>
      </c>
      <c r="L92" t="s">
        <v>535</v>
      </c>
      <c r="M92">
        <v>43560</v>
      </c>
      <c r="N92">
        <v>1</v>
      </c>
    </row>
    <row r="93" spans="1:14" x14ac:dyDescent="0.2">
      <c r="A93" t="s">
        <v>595</v>
      </c>
      <c r="B93" t="s">
        <v>16</v>
      </c>
      <c r="C93" t="s">
        <v>32</v>
      </c>
      <c r="D93" t="s">
        <v>596</v>
      </c>
      <c r="E93">
        <v>2330</v>
      </c>
      <c r="F93">
        <v>11</v>
      </c>
      <c r="G93">
        <v>22744897</v>
      </c>
      <c r="H93" t="s">
        <v>597</v>
      </c>
      <c r="I93" t="s">
        <v>598</v>
      </c>
      <c r="J93" t="s">
        <v>599</v>
      </c>
      <c r="K93" t="s">
        <v>600</v>
      </c>
      <c r="L93" t="s">
        <v>601</v>
      </c>
      <c r="M93">
        <v>45002</v>
      </c>
      <c r="N93">
        <v>1</v>
      </c>
    </row>
    <row r="94" spans="1:14" x14ac:dyDescent="0.2">
      <c r="A94" t="s">
        <v>450</v>
      </c>
      <c r="B94" t="s">
        <v>24</v>
      </c>
      <c r="C94" t="s">
        <v>15</v>
      </c>
      <c r="D94" t="s">
        <v>451</v>
      </c>
      <c r="E94">
        <v>2330</v>
      </c>
      <c r="F94">
        <v>11</v>
      </c>
      <c r="G94">
        <v>22745495</v>
      </c>
      <c r="H94" t="s">
        <v>452</v>
      </c>
      <c r="I94" t="s">
        <v>453</v>
      </c>
      <c r="J94" t="s">
        <v>454</v>
      </c>
      <c r="K94" t="s">
        <v>455</v>
      </c>
      <c r="L94" t="s">
        <v>456</v>
      </c>
      <c r="M94">
        <v>45600</v>
      </c>
      <c r="N94">
        <v>1</v>
      </c>
    </row>
    <row r="95" spans="1:14" x14ac:dyDescent="0.2">
      <c r="A95" t="s">
        <v>569</v>
      </c>
      <c r="B95" t="s">
        <v>15</v>
      </c>
      <c r="C95" t="s">
        <v>24</v>
      </c>
      <c r="D95" t="s">
        <v>570</v>
      </c>
      <c r="E95">
        <v>2330</v>
      </c>
      <c r="F95">
        <v>11</v>
      </c>
      <c r="G95">
        <v>22746059</v>
      </c>
      <c r="H95" t="s">
        <v>571</v>
      </c>
      <c r="I95" t="s">
        <v>572</v>
      </c>
      <c r="J95" t="s">
        <v>573</v>
      </c>
      <c r="K95" t="s">
        <v>574</v>
      </c>
      <c r="L95" t="s">
        <v>575</v>
      </c>
      <c r="M95">
        <v>46164</v>
      </c>
      <c r="N95">
        <v>1</v>
      </c>
    </row>
    <row r="96" spans="1:14" x14ac:dyDescent="0.2">
      <c r="A96" t="s">
        <v>395</v>
      </c>
      <c r="B96" t="s">
        <v>16</v>
      </c>
      <c r="C96" t="s">
        <v>32</v>
      </c>
      <c r="D96" t="s">
        <v>396</v>
      </c>
      <c r="E96">
        <v>2330</v>
      </c>
      <c r="F96">
        <v>11</v>
      </c>
      <c r="G96">
        <v>22746786</v>
      </c>
      <c r="H96" t="s">
        <v>397</v>
      </c>
      <c r="I96" t="s">
        <v>398</v>
      </c>
      <c r="J96" t="s">
        <v>399</v>
      </c>
      <c r="K96" t="s">
        <v>400</v>
      </c>
      <c r="L96" t="s">
        <v>401</v>
      </c>
      <c r="M96">
        <v>46891</v>
      </c>
      <c r="N96">
        <v>1</v>
      </c>
    </row>
    <row r="97" spans="1:15" x14ac:dyDescent="0.2">
      <c r="A97" t="s">
        <v>430</v>
      </c>
      <c r="B97" t="s">
        <v>16</v>
      </c>
      <c r="C97" t="s">
        <v>32</v>
      </c>
      <c r="D97" t="s">
        <v>396</v>
      </c>
      <c r="E97">
        <v>2330</v>
      </c>
      <c r="F97">
        <v>11</v>
      </c>
      <c r="G97">
        <v>22747265</v>
      </c>
      <c r="H97" t="s">
        <v>431</v>
      </c>
      <c r="I97" t="s">
        <v>432</v>
      </c>
      <c r="J97" t="s">
        <v>433</v>
      </c>
      <c r="K97" t="s">
        <v>434</v>
      </c>
      <c r="L97" t="s">
        <v>435</v>
      </c>
      <c r="M97">
        <v>47370</v>
      </c>
      <c r="N97">
        <v>1</v>
      </c>
    </row>
    <row r="98" spans="1:15" x14ac:dyDescent="0.2">
      <c r="A98" t="s">
        <v>416</v>
      </c>
      <c r="B98" t="s">
        <v>24</v>
      </c>
      <c r="C98" t="s">
        <v>15</v>
      </c>
      <c r="D98" t="s">
        <v>417</v>
      </c>
      <c r="E98">
        <v>2330</v>
      </c>
      <c r="F98">
        <v>11</v>
      </c>
      <c r="G98">
        <v>22747408</v>
      </c>
      <c r="H98" t="s">
        <v>418</v>
      </c>
      <c r="I98" t="s">
        <v>419</v>
      </c>
      <c r="J98" t="s">
        <v>420</v>
      </c>
      <c r="K98" t="s">
        <v>421</v>
      </c>
      <c r="L98" t="s">
        <v>422</v>
      </c>
      <c r="M98">
        <v>47513</v>
      </c>
      <c r="N98">
        <v>1</v>
      </c>
    </row>
    <row r="99" spans="1:15" x14ac:dyDescent="0.2">
      <c r="A99" t="s">
        <v>423</v>
      </c>
      <c r="B99" t="s">
        <v>24</v>
      </c>
      <c r="C99" t="s">
        <v>15</v>
      </c>
      <c r="D99" t="s">
        <v>424</v>
      </c>
      <c r="E99">
        <v>2330</v>
      </c>
      <c r="F99">
        <v>11</v>
      </c>
      <c r="G99">
        <v>22747638</v>
      </c>
      <c r="H99" t="s">
        <v>425</v>
      </c>
      <c r="I99" t="s">
        <v>426</v>
      </c>
      <c r="J99" t="s">
        <v>427</v>
      </c>
      <c r="K99" t="s">
        <v>428</v>
      </c>
      <c r="L99" t="s">
        <v>429</v>
      </c>
      <c r="M99">
        <v>47743</v>
      </c>
      <c r="N99">
        <v>1</v>
      </c>
    </row>
    <row r="100" spans="1:15" x14ac:dyDescent="0.2">
      <c r="A100" t="s">
        <v>490</v>
      </c>
      <c r="B100" t="s">
        <v>16</v>
      </c>
      <c r="C100" t="s">
        <v>32</v>
      </c>
      <c r="D100" t="s">
        <v>491</v>
      </c>
      <c r="E100">
        <v>2330</v>
      </c>
      <c r="F100">
        <v>11</v>
      </c>
      <c r="G100">
        <v>22748632</v>
      </c>
      <c r="H100" t="s">
        <v>492</v>
      </c>
      <c r="I100" t="s">
        <v>493</v>
      </c>
      <c r="J100" t="s">
        <v>494</v>
      </c>
      <c r="K100" t="s">
        <v>495</v>
      </c>
      <c r="L100" t="s">
        <v>496</v>
      </c>
      <c r="M100">
        <v>48737</v>
      </c>
      <c r="N100">
        <v>1</v>
      </c>
    </row>
    <row r="101" spans="1:15" x14ac:dyDescent="0.2">
      <c r="A101" t="s">
        <v>409</v>
      </c>
      <c r="B101" t="s">
        <v>15</v>
      </c>
      <c r="C101" t="s">
        <v>24</v>
      </c>
      <c r="D101" t="s">
        <v>410</v>
      </c>
      <c r="E101">
        <v>2330</v>
      </c>
      <c r="F101">
        <v>11</v>
      </c>
      <c r="G101">
        <v>22749464</v>
      </c>
      <c r="H101" t="s">
        <v>411</v>
      </c>
      <c r="I101" t="s">
        <v>412</v>
      </c>
      <c r="J101" t="s">
        <v>413</v>
      </c>
      <c r="K101" t="s">
        <v>414</v>
      </c>
      <c r="L101" t="s">
        <v>415</v>
      </c>
      <c r="M101">
        <v>49569</v>
      </c>
      <c r="N101">
        <v>1</v>
      </c>
    </row>
    <row r="102" spans="1:15" x14ac:dyDescent="0.2">
      <c r="A102" t="s">
        <v>436</v>
      </c>
      <c r="B102" t="s">
        <v>24</v>
      </c>
      <c r="C102" t="s">
        <v>15</v>
      </c>
      <c r="D102" t="s">
        <v>437</v>
      </c>
      <c r="E102">
        <v>2330</v>
      </c>
      <c r="F102">
        <v>11</v>
      </c>
      <c r="G102">
        <v>22749603</v>
      </c>
      <c r="H102" t="s">
        <v>438</v>
      </c>
      <c r="I102" t="s">
        <v>439</v>
      </c>
      <c r="J102" t="s">
        <v>440</v>
      </c>
      <c r="K102" t="s">
        <v>441</v>
      </c>
      <c r="L102" t="s">
        <v>442</v>
      </c>
      <c r="M102">
        <v>49708</v>
      </c>
      <c r="N102">
        <v>1</v>
      </c>
    </row>
    <row r="103" spans="1:15" x14ac:dyDescent="0.2">
      <c r="A103" t="s">
        <v>402</v>
      </c>
      <c r="B103" t="s">
        <v>16</v>
      </c>
      <c r="C103" t="s">
        <v>32</v>
      </c>
      <c r="D103" t="s">
        <v>403</v>
      </c>
      <c r="E103">
        <v>2330</v>
      </c>
      <c r="F103">
        <v>11</v>
      </c>
      <c r="G103">
        <v>22750376</v>
      </c>
      <c r="H103" t="s">
        <v>404</v>
      </c>
      <c r="I103" t="s">
        <v>405</v>
      </c>
      <c r="J103" t="s">
        <v>406</v>
      </c>
      <c r="K103" t="s">
        <v>407</v>
      </c>
      <c r="L103" t="s">
        <v>408</v>
      </c>
      <c r="M103">
        <v>50481</v>
      </c>
      <c r="N103">
        <v>1</v>
      </c>
    </row>
    <row r="104" spans="1:15" x14ac:dyDescent="0.2">
      <c r="A104" t="s">
        <v>457</v>
      </c>
      <c r="B104" t="s">
        <v>24</v>
      </c>
      <c r="C104" t="s">
        <v>15</v>
      </c>
      <c r="D104" t="s">
        <v>458</v>
      </c>
      <c r="E104">
        <v>2330</v>
      </c>
      <c r="F104">
        <v>11</v>
      </c>
      <c r="G104">
        <v>22750817</v>
      </c>
      <c r="H104" t="s">
        <v>459</v>
      </c>
      <c r="I104" t="s">
        <v>460</v>
      </c>
      <c r="J104" t="s">
        <v>461</v>
      </c>
      <c r="K104" t="s">
        <v>462</v>
      </c>
      <c r="L104" t="s">
        <v>463</v>
      </c>
      <c r="M104">
        <v>50922</v>
      </c>
      <c r="N104">
        <v>1</v>
      </c>
      <c r="O104">
        <f>104-69</f>
        <v>35</v>
      </c>
    </row>
    <row r="106" spans="1:15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s="1" t="s">
        <v>630</v>
      </c>
    </row>
    <row r="107" spans="1:15" x14ac:dyDescent="0.2">
      <c r="A107" t="s">
        <v>645</v>
      </c>
      <c r="B107" t="s">
        <v>16</v>
      </c>
      <c r="C107" t="s">
        <v>32</v>
      </c>
      <c r="D107" t="s">
        <v>646</v>
      </c>
      <c r="E107">
        <v>2330</v>
      </c>
      <c r="F107">
        <v>12</v>
      </c>
      <c r="G107">
        <v>34051640</v>
      </c>
      <c r="H107" t="s">
        <v>647</v>
      </c>
      <c r="I107" t="s">
        <v>648</v>
      </c>
      <c r="J107" t="s">
        <v>649</v>
      </c>
      <c r="K107" t="s">
        <v>650</v>
      </c>
      <c r="L107" t="s">
        <v>651</v>
      </c>
      <c r="M107">
        <v>51538</v>
      </c>
      <c r="N107">
        <v>1</v>
      </c>
    </row>
    <row r="108" spans="1:15" x14ac:dyDescent="0.2">
      <c r="A108" t="s">
        <v>638</v>
      </c>
      <c r="B108" t="s">
        <v>32</v>
      </c>
      <c r="C108" t="s">
        <v>24</v>
      </c>
      <c r="D108" t="s">
        <v>639</v>
      </c>
      <c r="E108">
        <v>2330</v>
      </c>
      <c r="F108">
        <v>12</v>
      </c>
      <c r="G108">
        <v>34054888</v>
      </c>
      <c r="H108" t="s">
        <v>640</v>
      </c>
      <c r="I108" t="s">
        <v>641</v>
      </c>
      <c r="J108" t="s">
        <v>642</v>
      </c>
      <c r="K108" t="s">
        <v>643</v>
      </c>
      <c r="L108" t="s">
        <v>644</v>
      </c>
      <c r="M108">
        <v>54786</v>
      </c>
      <c r="N108">
        <v>1</v>
      </c>
    </row>
    <row r="109" spans="1:15" x14ac:dyDescent="0.2">
      <c r="A109" t="s">
        <v>631</v>
      </c>
      <c r="B109" t="s">
        <v>24</v>
      </c>
      <c r="C109" t="s">
        <v>15</v>
      </c>
      <c r="D109" t="s">
        <v>632</v>
      </c>
      <c r="E109">
        <v>2330</v>
      </c>
      <c r="F109">
        <v>12</v>
      </c>
      <c r="G109">
        <v>34056547</v>
      </c>
      <c r="H109" t="s">
        <v>633</v>
      </c>
      <c r="I109" t="s">
        <v>634</v>
      </c>
      <c r="J109" t="s">
        <v>635</v>
      </c>
      <c r="K109" t="s">
        <v>636</v>
      </c>
      <c r="L109" t="s">
        <v>637</v>
      </c>
      <c r="M109">
        <v>56445</v>
      </c>
      <c r="N109">
        <v>1</v>
      </c>
    </row>
    <row r="110" spans="1:15" x14ac:dyDescent="0.2">
      <c r="A110" t="s">
        <v>652</v>
      </c>
      <c r="B110" t="s">
        <v>32</v>
      </c>
      <c r="C110" t="s">
        <v>15</v>
      </c>
      <c r="D110" t="s">
        <v>653</v>
      </c>
      <c r="E110">
        <v>2330</v>
      </c>
      <c r="F110">
        <v>12</v>
      </c>
      <c r="G110">
        <v>34057510</v>
      </c>
      <c r="H110" t="s">
        <v>654</v>
      </c>
      <c r="I110" t="s">
        <v>655</v>
      </c>
      <c r="J110" t="s">
        <v>656</v>
      </c>
      <c r="K110" t="s">
        <v>657</v>
      </c>
      <c r="L110" t="s">
        <v>658</v>
      </c>
      <c r="M110">
        <v>57408</v>
      </c>
      <c r="N110">
        <v>1</v>
      </c>
    </row>
    <row r="112" spans="1:15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s="1" t="s">
        <v>46</v>
      </c>
    </row>
    <row r="113" spans="1:15" x14ac:dyDescent="0.2">
      <c r="A113" t="s">
        <v>14</v>
      </c>
      <c r="B113" t="s">
        <v>15</v>
      </c>
      <c r="C113" t="s">
        <v>16</v>
      </c>
      <c r="D113" t="s">
        <v>17</v>
      </c>
      <c r="E113">
        <v>2330</v>
      </c>
      <c r="F113">
        <v>15</v>
      </c>
      <c r="G113">
        <v>41915479</v>
      </c>
      <c r="H113" t="s">
        <v>18</v>
      </c>
      <c r="I113" t="s">
        <v>19</v>
      </c>
      <c r="J113" t="s">
        <v>20</v>
      </c>
      <c r="K113" t="s">
        <v>21</v>
      </c>
      <c r="L113" t="s">
        <v>22</v>
      </c>
      <c r="M113">
        <v>415099</v>
      </c>
      <c r="N113">
        <v>1</v>
      </c>
    </row>
    <row r="114" spans="1:15" x14ac:dyDescent="0.2">
      <c r="A114" t="s">
        <v>23</v>
      </c>
      <c r="B114" t="s">
        <v>24</v>
      </c>
      <c r="C114" t="s">
        <v>15</v>
      </c>
      <c r="D114" t="s">
        <v>25</v>
      </c>
      <c r="E114">
        <v>2330</v>
      </c>
      <c r="F114">
        <v>15</v>
      </c>
      <c r="G114">
        <v>41918196</v>
      </c>
      <c r="H114" t="s">
        <v>26</v>
      </c>
      <c r="I114" t="s">
        <v>27</v>
      </c>
      <c r="J114" t="s">
        <v>28</v>
      </c>
      <c r="K114" t="s">
        <v>29</v>
      </c>
      <c r="L114" t="s">
        <v>30</v>
      </c>
      <c r="M114">
        <v>417816</v>
      </c>
      <c r="N114">
        <v>1</v>
      </c>
    </row>
    <row r="115" spans="1:15" x14ac:dyDescent="0.2">
      <c r="A115" t="s">
        <v>39</v>
      </c>
      <c r="B115" t="s">
        <v>16</v>
      </c>
      <c r="C115" t="s">
        <v>32</v>
      </c>
      <c r="D115" t="s">
        <v>40</v>
      </c>
      <c r="E115">
        <v>2330</v>
      </c>
      <c r="F115">
        <v>15</v>
      </c>
      <c r="G115">
        <v>41921203</v>
      </c>
      <c r="H115" t="s">
        <v>41</v>
      </c>
      <c r="I115" t="s">
        <v>42</v>
      </c>
      <c r="J115" t="s">
        <v>43</v>
      </c>
      <c r="K115" t="s">
        <v>44</v>
      </c>
      <c r="L115" t="s">
        <v>45</v>
      </c>
      <c r="M115">
        <v>420823</v>
      </c>
      <c r="N115">
        <v>1</v>
      </c>
    </row>
    <row r="116" spans="1:15" x14ac:dyDescent="0.2">
      <c r="A116" t="s">
        <v>31</v>
      </c>
      <c r="B116" t="s">
        <v>32</v>
      </c>
      <c r="C116" t="s">
        <v>16</v>
      </c>
      <c r="D116" t="s">
        <v>33</v>
      </c>
      <c r="E116">
        <v>2330</v>
      </c>
      <c r="F116">
        <v>15</v>
      </c>
      <c r="G116">
        <v>41921601</v>
      </c>
      <c r="H116" t="s">
        <v>34</v>
      </c>
      <c r="I116" t="s">
        <v>35</v>
      </c>
      <c r="J116" t="s">
        <v>36</v>
      </c>
      <c r="K116" t="s">
        <v>37</v>
      </c>
      <c r="L116" t="s">
        <v>38</v>
      </c>
      <c r="M116">
        <v>421221</v>
      </c>
      <c r="N116">
        <v>1</v>
      </c>
    </row>
    <row r="118" spans="1:15" x14ac:dyDescent="0.2">
      <c r="A118" t="s">
        <v>660</v>
      </c>
      <c r="O118" s="1" t="s">
        <v>659</v>
      </c>
    </row>
    <row r="121" spans="1:15" x14ac:dyDescent="0.2">
      <c r="A121" t="s">
        <v>660</v>
      </c>
      <c r="O121" s="1" t="s">
        <v>661</v>
      </c>
    </row>
  </sheetData>
  <sortState xmlns:xlrd2="http://schemas.microsoft.com/office/spreadsheetml/2017/richdata2" ref="A113:M116">
    <sortCondition ref="G113:G116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Tengvall</dc:creator>
  <cp:lastModifiedBy>Katarina Tengvall</cp:lastModifiedBy>
  <dcterms:created xsi:type="dcterms:W3CDTF">2026-06-03T07:32:11Z</dcterms:created>
  <dcterms:modified xsi:type="dcterms:W3CDTF">2026-09-02T09:02:57Z</dcterms:modified>
</cp:coreProperties>
</file>